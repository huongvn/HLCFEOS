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https://d.docs.live.net/43dda0650a10c482/Backup document/Desktop/"/>
    </mc:Choice>
  </mc:AlternateContent>
  <xr:revisionPtr revIDLastSave="8" documentId="11_FA4DEDB1A76EFA9937465F9685C245FD888FA2D7" xr6:coauthVersionLast="47" xr6:coauthVersionMax="47" xr10:uidLastSave="{F58D430C-EB2B-46E1-998E-345E7C27DCC9}"/>
  <bookViews>
    <workbookView xWindow="-120" yWindow="-120" windowWidth="29040" windowHeight="15720" tabRatio="500" activeTab="1" xr2:uid="{00000000-000D-0000-FFFF-FFFF00000000}"/>
  </bookViews>
  <sheets>
    <sheet name="1. Tổng Quan" sheetId="1" r:id="rId1"/>
    <sheet name="2. Lịch Vận Hành" sheetId="2" r:id="rId2"/>
    <sheet name="3. Tính Tiết Kiệm" sheetId="3" r:id="rId3"/>
    <sheet name="4. Theo Dõi Tuần" sheetId="4" r:id="rId4"/>
    <sheet name="5. Checklist Ngày" sheetId="5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F85" i="4" l="1"/>
  <c r="F84" i="4"/>
  <c r="F83" i="4"/>
  <c r="F82" i="4"/>
  <c r="F81" i="4"/>
  <c r="F78" i="4"/>
  <c r="F77" i="4"/>
  <c r="F76" i="4"/>
  <c r="F75" i="4"/>
  <c r="F74" i="4"/>
  <c r="F71" i="4"/>
  <c r="F70" i="4"/>
  <c r="F69" i="4"/>
  <c r="F68" i="4"/>
  <c r="F67" i="4"/>
  <c r="F64" i="4"/>
  <c r="F63" i="4"/>
  <c r="F62" i="4"/>
  <c r="F61" i="4"/>
  <c r="F60" i="4"/>
  <c r="F57" i="4"/>
  <c r="F56" i="4"/>
  <c r="F55" i="4"/>
  <c r="F54" i="4"/>
  <c r="F53" i="4"/>
  <c r="F50" i="4"/>
  <c r="F49" i="4"/>
  <c r="F48" i="4"/>
  <c r="F47" i="4"/>
  <c r="F46" i="4"/>
  <c r="F43" i="4"/>
  <c r="F42" i="4"/>
  <c r="F41" i="4"/>
  <c r="F40" i="4"/>
  <c r="F39" i="4"/>
  <c r="F36" i="4"/>
  <c r="F35" i="4"/>
  <c r="I34" i="4"/>
  <c r="H34" i="4"/>
  <c r="F34" i="4"/>
  <c r="F33" i="4"/>
  <c r="F32" i="4"/>
  <c r="F29" i="4"/>
  <c r="F28" i="4"/>
  <c r="F27" i="4"/>
  <c r="F26" i="4"/>
  <c r="F25" i="4"/>
  <c r="F22" i="4"/>
  <c r="F21" i="4"/>
  <c r="F20" i="4"/>
  <c r="F19" i="4"/>
  <c r="F18" i="4"/>
  <c r="F15" i="4"/>
  <c r="F14" i="4"/>
  <c r="F13" i="4"/>
  <c r="F12" i="4"/>
  <c r="F11" i="4"/>
  <c r="F8" i="4"/>
  <c r="F7" i="4"/>
  <c r="F6" i="4"/>
  <c r="F5" i="4"/>
  <c r="F4" i="4"/>
  <c r="C20" i="3"/>
  <c r="C19" i="3"/>
  <c r="C18" i="3"/>
  <c r="N18" i="2"/>
  <c r="J18" i="2"/>
  <c r="F18" i="2"/>
  <c r="I81" i="4" l="1"/>
  <c r="H81" i="4"/>
  <c r="I5" i="4"/>
  <c r="F20" i="2"/>
  <c r="I33" i="4"/>
  <c r="H33" i="4"/>
  <c r="I32" i="4"/>
  <c r="H32" i="4"/>
  <c r="I29" i="4"/>
  <c r="H29" i="4"/>
  <c r="I28" i="4"/>
  <c r="H28" i="4"/>
  <c r="I27" i="4"/>
  <c r="H27" i="4"/>
  <c r="I26" i="4"/>
  <c r="H26" i="4"/>
  <c r="I25" i="4"/>
  <c r="H25" i="4"/>
  <c r="I22" i="4"/>
  <c r="H22" i="4"/>
  <c r="I21" i="4"/>
  <c r="H21" i="4"/>
  <c r="I20" i="4"/>
  <c r="H20" i="4"/>
  <c r="I19" i="4"/>
  <c r="H19" i="4"/>
  <c r="I18" i="4"/>
  <c r="H18" i="4"/>
  <c r="I15" i="4"/>
  <c r="H15" i="4"/>
  <c r="I14" i="4"/>
  <c r="H14" i="4"/>
  <c r="I13" i="4"/>
  <c r="H13" i="4"/>
  <c r="I12" i="4"/>
  <c r="H12" i="4"/>
  <c r="H11" i="4"/>
  <c r="I7" i="4"/>
  <c r="H7" i="4"/>
  <c r="I6" i="4"/>
  <c r="H6" i="4"/>
  <c r="I4" i="4"/>
  <c r="H4" i="4"/>
  <c r="F20" i="3"/>
  <c r="G20" i="3" s="1"/>
  <c r="D19" i="3"/>
  <c r="E19" i="3" s="1"/>
  <c r="N20" i="2"/>
  <c r="I84" i="4"/>
  <c r="I83" i="4"/>
  <c r="H83" i="4"/>
  <c r="I78" i="4"/>
  <c r="H78" i="4"/>
  <c r="I77" i="4"/>
  <c r="H77" i="4"/>
  <c r="I76" i="4"/>
  <c r="H76" i="4"/>
  <c r="I75" i="4"/>
  <c r="H75" i="4"/>
  <c r="I74" i="4"/>
  <c r="H74" i="4"/>
  <c r="I71" i="4"/>
  <c r="H71" i="4"/>
  <c r="I70" i="4"/>
  <c r="H70" i="4"/>
  <c r="I69" i="4"/>
  <c r="H69" i="4"/>
  <c r="I68" i="4"/>
  <c r="H68" i="4"/>
  <c r="I67" i="4"/>
  <c r="H67" i="4"/>
  <c r="I64" i="4"/>
  <c r="H64" i="4"/>
  <c r="I63" i="4"/>
  <c r="H63" i="4"/>
  <c r="I62" i="4"/>
  <c r="H62" i="4"/>
  <c r="I61" i="4"/>
  <c r="H61" i="4"/>
  <c r="I60" i="4"/>
  <c r="H60" i="4"/>
  <c r="I57" i="4"/>
  <c r="H57" i="4"/>
  <c r="I56" i="4"/>
  <c r="H56" i="4"/>
  <c r="I55" i="4"/>
  <c r="H55" i="4"/>
  <c r="I54" i="4"/>
  <c r="H54" i="4"/>
  <c r="I53" i="4"/>
  <c r="H53" i="4"/>
  <c r="I50" i="4"/>
  <c r="H50" i="4"/>
  <c r="I49" i="4"/>
  <c r="H49" i="4"/>
  <c r="I48" i="4"/>
  <c r="H48" i="4"/>
  <c r="I47" i="4"/>
  <c r="H47" i="4"/>
  <c r="I46" i="4"/>
  <c r="H46" i="4"/>
  <c r="I43" i="4"/>
  <c r="H43" i="4"/>
  <c r="I42" i="4"/>
  <c r="H42" i="4"/>
  <c r="I41" i="4"/>
  <c r="H41" i="4"/>
  <c r="I40" i="4"/>
  <c r="H40" i="4"/>
  <c r="I39" i="4"/>
  <c r="H39" i="4"/>
  <c r="I36" i="4"/>
  <c r="H36" i="4"/>
  <c r="I35" i="4"/>
  <c r="H35" i="4"/>
  <c r="I11" i="4"/>
  <c r="I8" i="4"/>
  <c r="H8" i="4"/>
  <c r="H5" i="4"/>
  <c r="D20" i="3"/>
  <c r="E20" i="3" s="1"/>
  <c r="F19" i="3"/>
  <c r="G19" i="3" s="1"/>
  <c r="F18" i="3"/>
  <c r="G18" i="3" s="1"/>
  <c r="D18" i="3"/>
  <c r="E18" i="3" s="1"/>
  <c r="J20" i="2"/>
  <c r="H85" i="4"/>
  <c r="H84" i="4"/>
  <c r="I82" i="4"/>
  <c r="H82" i="4"/>
  <c r="I85" i="4"/>
  <c r="J20" i="3" l="1"/>
  <c r="I20" i="3"/>
  <c r="I19" i="3"/>
  <c r="J19" i="3"/>
  <c r="I18" i="3"/>
  <c r="J18" i="3"/>
</calcChain>
</file>

<file path=xl/sharedStrings.xml><?xml version="1.0" encoding="utf-8"?>
<sst xmlns="http://schemas.openxmlformats.org/spreadsheetml/2006/main" count="523" uniqueCount="297">
  <si>
    <t>KỊ CH BẢN VẬN HÀNH TỐI ƯU NĂNG LƯỢNG – QUÁN CAFE BLUE</t>
  </si>
  <si>
    <t>2 × Daikin âm trần 24,000 BTU  ·  LKC36 Xuân Đỉnh, Hà Nội  ·  Phi lot T6–T8/2026</t>
  </si>
  <si>
    <t>23,992 kWh</t>
  </si>
  <si>
    <t>85.5 triệu VND</t>
  </si>
  <si>
    <t>11–14%</t>
  </si>
  <si>
    <t>~830,000</t>
  </si>
  <si>
    <t>3.43</t>
  </si>
  <si>
    <t>~63% Hè</t>
  </si>
  <si>
    <t>Tổng KH
12 tháng</t>
  </si>
  <si>
    <t>Chi phí
12 tháng</t>
  </si>
  <si>
    <t>Tiết kiệm
dự kiến (KB2)</t>
  </si>
  <si>
    <t>VND/tháng
tiết kiệm KB2</t>
  </si>
  <si>
    <t>COP
định mức</t>
  </si>
  <si>
    <t>AC chiếm
tổng điện</t>
  </si>
  <si>
    <t>NỘI DUNG CÁC SHEET</t>
  </si>
  <si>
    <t>2. Lịch Vận Hành</t>
  </si>
  <si>
    <t>Bảng setpoint nhiệt độ và cấu hình máy lạnh theo từng khung giờ, 3 mùa (Hè/Giao mùa/Đông)</t>
  </si>
  <si>
    <t>3. Tính Tiết Kiệm</t>
  </si>
  <si>
    <t>Tính toán chi tiết kWh và VND tiết kiệm được cho 3 kịch bản, so baseline từng tháng</t>
  </si>
  <si>
    <t>4. Theo Dõi Tuần</t>
  </si>
  <si>
    <t>Template ghi nhận kWh thực tế hàng tuần, tự động tính % tiết kiệm so baseline 2025</t>
  </si>
  <si>
    <t>5. Checklist Ngày</t>
  </si>
  <si>
    <t>Danh sách kiểm tra vận hành hàng ngày/tuần cho nhân viên và kỹ thuật EE</t>
  </si>
  <si>
    <t>NGUYÊN TẮC VẬN HÀNH CỐT LÕI</t>
  </si>
  <si>
    <t>1</t>
  </si>
  <si>
    <t>PRE-COOLING 6:30–7:00</t>
  </si>
  <si>
    <t>Bật 2 máy ở 24°C trước giờ mở cửa. Hiệu quả nhất vì outdoor ~27–29°C → COP cao hơn 15–20%. Sau 7:00 tăng lên 26–27°C.</t>
  </si>
  <si>
    <t>2</t>
  </si>
  <si>
    <t>KHÔNG ĐIỀU CHỈNH TRONG CAO ĐIỂM</t>
  </si>
  <si>
    <t>Từ 10:00–17:00 (40% khách, nóng nhất): giữ 25°C, không giảm thêm. Giảm thêm 1°C tốn ~4% điện mà comfort không tăng đáng kể.</t>
  </si>
  <si>
    <t>3</t>
  </si>
  <si>
    <t>SETBACK TỐI 21:00+</t>
  </si>
  <si>
    <t>Sau 21:00 tăng lên 27°C (hoặc tắt 1 máy). Khách còn ~10–15%, outdoor xuống ~28°C. Tiết kiệm ~3 kWh/ngày.</t>
  </si>
  <si>
    <t>4</t>
  </si>
  <si>
    <t>KHÔNG TẮT HOÀN TOÀN KHI CÓ KHÁCH</t>
  </si>
  <si>
    <t>Luôn duy trì tối thiểu 1 máy khi quán còn khách. Tắt máy và bật lại = khởi động tải điện cao ~3–5 phút.</t>
  </si>
  <si>
    <t>5</t>
  </si>
  <si>
    <t>GHI LOG HÀNG NGÀY</t>
  </si>
  <si>
    <t>Đọc đồng hồ điện lúc 7:00 sáng (trước mở cửa) và 22:30 (sau đóng cửa). Ghi vào Sheet 'Theo Dõi Tuần'.</t>
  </si>
  <si>
    <t>LỊCH VẬN HÀNH TỐI ƯU – SETPOINT NHIỆT ĐỘ &amp; CẤU HÌNH MÁY LẠNH THEO GIỜ</t>
  </si>
  <si>
    <t>Quán Cafe Blue  ·  2 × Daikin âm trần 24,000 BTU  ·  Kịch bản 2 – KỲ VỌNG (tiết kiệm 11–14%)</t>
  </si>
  <si>
    <t>KHUNG GIỜ</t>
  </si>
  <si>
    <t>KHÁCH</t>
  </si>
  <si>
    <t>MÙA HÈ (T6–T8)
Outdoor 33–38°C</t>
  </si>
  <si>
    <t>GIAO MÙA (T3–T5, T9–T10)
Outdoor 25–33°C</t>
  </si>
  <si>
    <t>MÙA ĐÔNG (T11–T2)
Outdoor 15–25°C</t>
  </si>
  <si>
    <t>GHI CHÚ VẬN HÀNH</t>
  </si>
  <si>
    <t>Setpoint
(°C)</t>
  </si>
  <si>
    <t>Máy
bật</t>
  </si>
  <si>
    <t>Công suất
AC (kW)</t>
  </si>
  <si>
    <t>kWh
/slot</t>
  </si>
  <si>
    <t>PRE-COOL
06:30–07:00</t>
  </si>
  <si>
    <t>0%</t>
  </si>
  <si>
    <t>OFF</t>
  </si>
  <si>
    <t>Pre-cooling trước mở cửa. Outdoor mát → COP cao nhất trong ngày. Tiết kiệm nhiều hơn pre-cool muộn.</t>
  </si>
  <si>
    <t>Sáng sớm
07:00–08:00</t>
  </si>
  <si>
    <t>5–10%</t>
  </si>
  <si>
    <t>Ít khách. Tăng setpoint sau pre-cool. Outdoor chưa nóng → dễ duy trì nhiệt.</t>
  </si>
  <si>
    <t>Sáng
08:00–09:30</t>
  </si>
  <si>
    <t>15–25%</t>
  </si>
  <si>
    <t>Khách tăng dần. Hè: bật 2 máy vì outdoor tăng nhanh. Đông: 1 máy đủ.</t>
  </si>
  <si>
    <t>Trước cao điểm
09:30–10:00</t>
  </si>
  <si>
    <t>28–35%</t>
  </si>
  <si>
    <t>Chuẩn bị cho giờ cao điểm. Giảm setpoint 0.5–1°C trước để đón khách.</t>
  </si>
  <si>
    <t>Cao điểm sáng
10:00–12:00</t>
  </si>
  <si>
    <t>38–40%</t>
  </si>
  <si>
    <t>Giữ nguyên 25°C. KHÔNG giảm thêm. Đây là mức tối ưu comfort/điện.</t>
  </si>
  <si>
    <t>Cao điểm trưa
12:00–14:00</t>
  </si>
  <si>
    <t>40%</t>
  </si>
  <si>
    <t>Outdoor nóng nhất. 2 máy chạy tải cao. Không can thiệp setpoint.</t>
  </si>
  <si>
    <t>Chiều
14:00–16:00</t>
  </si>
  <si>
    <t>Tiếp tục duy trì 25°C. Bức xạ mặt trời cao – AC tải ổn định.</t>
  </si>
  <si>
    <t>Chiều muộn
16:00–17:00</t>
  </si>
  <si>
    <t>35%</t>
  </si>
  <si>
    <t>Khách giảm nhẹ. Có thể tăng 0.5°C – outdoor bắt đầu giảm từ từ.</t>
  </si>
  <si>
    <t>Đầu tối
17:00–18:00</t>
  </si>
  <si>
    <t>25–30%</t>
  </si>
  <si>
    <t>Khách giảm. Tăng setpoint lên 26°C. Outdoor hạ nhiệt – AC nhẹ tải.</t>
  </si>
  <si>
    <t>Tối
18:00–20:00</t>
  </si>
  <si>
    <t>25%</t>
  </si>
  <si>
    <t>Đông: tắt 1 máy → 1 máy đủ duy trì 26°C khi outdoor ~20°C.</t>
  </si>
  <si>
    <t>Tối muộn
20:00–21:00</t>
  </si>
  <si>
    <t>20–25%</t>
  </si>
  <si>
    <t>Khách thưa. Tăng dần setpoint. Comfort vẫn đảm bảo ở 26.5°C.</t>
  </si>
  <si>
    <t>Chuẩn bị đóng
21:00–22:00</t>
  </si>
  <si>
    <t>10–15%</t>
  </si>
  <si>
    <t>Chỉ 1 máy – đủ cho lượng khách còn lại. Tiết kiệm ~1.5 kWh/h so với 2 máy.</t>
  </si>
  <si>
    <t>Đóng cửa
22:00–22:30</t>
  </si>
  <si>
    <t>5%</t>
  </si>
  <si>
    <t>Đông: tắt hoàn toàn. Hè/Giao mùa: 1 máy phục vụ nhân viên dọn dẹp.</t>
  </si>
  <si>
    <t>TỔNG kWh TIÊU THỤ AC / NGÀY</t>
  </si>
  <si>
    <t>BASELINE (hiện tại 25–26°C cố định)</t>
  </si>
  <si>
    <t>TIẾT KIỆM ƯỚC TÍNH / NGÀY</t>
  </si>
  <si>
    <t>TÍNH TOÁN TIẾT KIỆM – 3 KỊCH BẢN VẬN HÀNH</t>
  </si>
  <si>
    <t>THÔNG SỐ ĐẦU VÀO (màu xanh = có thể chỉnh)</t>
  </si>
  <si>
    <t>Đơn giá điện có VAT</t>
  </si>
  <si>
    <t>VND/kWh</t>
  </si>
  <si>
    <t>Ngày hoạt động / tháng</t>
  </si>
  <si>
    <t>ngày</t>
  </si>
  <si>
    <t>Công suất lạnh mỗi máy</t>
  </si>
  <si>
    <t>kW nhiệt</t>
  </si>
  <si>
    <t>COP định mức Daikin 24k</t>
  </si>
  <si>
    <t>lần</t>
  </si>
  <si>
    <t>Điện phi-AC ước tính/ngày</t>
  </si>
  <si>
    <t>kWh/ngày</t>
  </si>
  <si>
    <t>Baseline điện AC mùa Hè</t>
  </si>
  <si>
    <t>Baseline điện AC giao mùa</t>
  </si>
  <si>
    <t>Baseline điện AC mùa Đông</t>
  </si>
  <si>
    <t>Tháng Hè (T6–T8)</t>
  </si>
  <si>
    <t>tháng</t>
  </si>
  <si>
    <t>Tháng Giao mùa</t>
  </si>
  <si>
    <t>Tháng Đông (T11–T2)</t>
  </si>
  <si>
    <t>KẾT QUẢ TÍNH TOÁN THEO KỊCH BẢN</t>
  </si>
  <si>
    <t>Kịch bản</t>
  </si>
  <si>
    <t>Tỉ lệ
tiết kiệm</t>
  </si>
  <si>
    <t>kWh tiết kiệm
/ ngày (Hè)</t>
  </si>
  <si>
    <t>kWh tiết kiệm
/ tháng (Hè)</t>
  </si>
  <si>
    <t>VND tiết kiệm
/ tháng (Hè)</t>
  </si>
  <si>
    <t>kWh tiết kiệm
/ năm</t>
  </si>
  <si>
    <t>VND tiết kiệm
/ năm</t>
  </si>
  <si>
    <t>Chi phí
đầu tư (VND)</t>
  </si>
  <si>
    <t>Payback
(tháng)</t>
  </si>
  <si>
    <t>ROI
12 tháng</t>
  </si>
  <si>
    <t>Xác suất</t>
  </si>
  <si>
    <t>1 – Thận trọng</t>
  </si>
  <si>
    <t>2 – Kỳ vọng ★</t>
  </si>
  <si>
    <t>45%</t>
  </si>
  <si>
    <t>3 – Tối ưu</t>
  </si>
  <si>
    <t>15%</t>
  </si>
  <si>
    <t>TRACKING SHEET – THEO DÕI TIÊU THỤ ĐIỆN HÀNG TUẦN – PILOT T6–T8/2026</t>
  </si>
  <si>
    <t>Điền cột D (chỉ số đồng hồ 22:30) và E (chỉ số sáng 7:00 hôm sau hoặc kWh thực đo). Các cột khác tự động tính.</t>
  </si>
  <si>
    <t>Ngày</t>
  </si>
  <si>
    <t>Thứ</t>
  </si>
  <si>
    <t>Nhiệt độ ngoài trời TB (°C)</t>
  </si>
  <si>
    <t>Chỉ số đồng hồ đầu ngày (kWh)</t>
  </si>
  <si>
    <t>Chỉ số đồng hồ cuối ngày (kWh)</t>
  </si>
  <si>
    <t>kWh tiêu thụ thực tế</t>
  </si>
  <si>
    <t>kWh baseline
2025 (cùng ngày)</t>
  </si>
  <si>
    <t>kWh tiết kiệm</t>
  </si>
  <si>
    <t>% tiết kiệm</t>
  </si>
  <si>
    <t>Nhiệt độ trong nhà TB (°C)</t>
  </si>
  <si>
    <t>Số lần điều chỉnh ngoài lịch</t>
  </si>
  <si>
    <t>Phàn nàn nhiệt độ (lần)</t>
  </si>
  <si>
    <t>Sự cố / Ghi chú</t>
  </si>
  <si>
    <t>Người ghi</t>
  </si>
  <si>
    <t>02/06</t>
  </si>
  <si>
    <t>T2</t>
  </si>
  <si>
    <t>03/06</t>
  </si>
  <si>
    <t>T3</t>
  </si>
  <si>
    <t>04/06</t>
  </si>
  <si>
    <t>T4</t>
  </si>
  <si>
    <t>05/06</t>
  </si>
  <si>
    <t>T5</t>
  </si>
  <si>
    <t>06/06</t>
  </si>
  <si>
    <t>T6</t>
  </si>
  <si>
    <t>07/06</t>
  </si>
  <si>
    <t>T7</t>
  </si>
  <si>
    <t>N/A</t>
  </si>
  <si>
    <t>08/06</t>
  </si>
  <si>
    <t>CN</t>
  </si>
  <si>
    <t>09/06</t>
  </si>
  <si>
    <t>10/06</t>
  </si>
  <si>
    <t>11/06</t>
  </si>
  <si>
    <t>12/06</t>
  </si>
  <si>
    <t>13/06</t>
  </si>
  <si>
    <t>14/06</t>
  </si>
  <si>
    <t>15/06</t>
  </si>
  <si>
    <t>16/06</t>
  </si>
  <si>
    <t>17/06</t>
  </si>
  <si>
    <t>18/06</t>
  </si>
  <si>
    <t>19/06</t>
  </si>
  <si>
    <t>20/06</t>
  </si>
  <si>
    <t>21/06</t>
  </si>
  <si>
    <t>22/06</t>
  </si>
  <si>
    <t>23/06</t>
  </si>
  <si>
    <t>24/06</t>
  </si>
  <si>
    <t>25/06</t>
  </si>
  <si>
    <t>26/06</t>
  </si>
  <si>
    <t>27/06</t>
  </si>
  <si>
    <t>28/06</t>
  </si>
  <si>
    <t>29/06</t>
  </si>
  <si>
    <t>30/06</t>
  </si>
  <si>
    <t>01/07</t>
  </si>
  <si>
    <t>02/07</t>
  </si>
  <si>
    <t>03/07</t>
  </si>
  <si>
    <t>04/07</t>
  </si>
  <si>
    <t>05/07</t>
  </si>
  <si>
    <t>06/07</t>
  </si>
  <si>
    <t>07/07</t>
  </si>
  <si>
    <t>08/07</t>
  </si>
  <si>
    <t>09/07</t>
  </si>
  <si>
    <t>10/07</t>
  </si>
  <si>
    <t>11/07</t>
  </si>
  <si>
    <t>12/07</t>
  </si>
  <si>
    <t>13/07</t>
  </si>
  <si>
    <t>14/07</t>
  </si>
  <si>
    <t>15/07</t>
  </si>
  <si>
    <t>16/07</t>
  </si>
  <si>
    <t>17/07</t>
  </si>
  <si>
    <t>18/07</t>
  </si>
  <si>
    <t>19/07</t>
  </si>
  <si>
    <t>20/07</t>
  </si>
  <si>
    <t>21/07</t>
  </si>
  <si>
    <t>22/07</t>
  </si>
  <si>
    <t>23/07</t>
  </si>
  <si>
    <t>24/07</t>
  </si>
  <si>
    <t>25/07</t>
  </si>
  <si>
    <t>26/07</t>
  </si>
  <si>
    <t>27/07</t>
  </si>
  <si>
    <t>28/07</t>
  </si>
  <si>
    <t>29/07</t>
  </si>
  <si>
    <t>30/07</t>
  </si>
  <si>
    <t>31/07</t>
  </si>
  <si>
    <t>01/08</t>
  </si>
  <si>
    <t>02/08</t>
  </si>
  <si>
    <t>03/08</t>
  </si>
  <si>
    <t>04/08</t>
  </si>
  <si>
    <t>05/08</t>
  </si>
  <si>
    <t>06/08</t>
  </si>
  <si>
    <t>07/08</t>
  </si>
  <si>
    <t>08/08</t>
  </si>
  <si>
    <t>09/08</t>
  </si>
  <si>
    <t>10/08</t>
  </si>
  <si>
    <t>11/08</t>
  </si>
  <si>
    <t>12/08</t>
  </si>
  <si>
    <t>13/08</t>
  </si>
  <si>
    <t>14/08</t>
  </si>
  <si>
    <t>15/08</t>
  </si>
  <si>
    <t>16/08</t>
  </si>
  <si>
    <t>17/08</t>
  </si>
  <si>
    <t>18/08</t>
  </si>
  <si>
    <t>19/08</t>
  </si>
  <si>
    <t>20/08</t>
  </si>
  <si>
    <t>21/08</t>
  </si>
  <si>
    <t>22/08</t>
  </si>
  <si>
    <t>23/08</t>
  </si>
  <si>
    <t>24/08</t>
  </si>
  <si>
    <t>TỔNG KẾT THEO TUẦN</t>
  </si>
  <si>
    <t>Tổng kWh thực
7 ngày</t>
  </si>
  <si>
    <t>Tổng baseline
7 ngày</t>
  </si>
  <si>
    <t>Tổng tiết kiệm
(kWh)</t>
  </si>
  <si>
    <t>VND tiết kiệm</t>
  </si>
  <si>
    <t>CHECKLIST VẬN HÀNH HÀNG NGÀY – CAFE BLUE EE PILOT</t>
  </si>
  <si>
    <t>TRƯỚC MỞ CỬA (06:30–07:00)</t>
  </si>
  <si>
    <t>STT</t>
  </si>
  <si>
    <t>Việc cần làm</t>
  </si>
  <si>
    <t>Lưu ý / Hướng dẫn</t>
  </si>
  <si>
    <t>Người
thực hiện</t>
  </si>
  <si>
    <t>Hoàn
thành ✓</t>
  </si>
  <si>
    <t>Bật 2 máy AC, đặt 24°C</t>
  </si>
  <si>
    <t>Pre-cooling, chạy đúng 30 phút trước 7:00</t>
  </si>
  <si>
    <t>NVCA</t>
  </si>
  <si>
    <t>Đọc chỉ số đồng hồ điện</t>
  </si>
  <si>
    <t>Ghi vào cột D Sheet 'Theo Dõi Tuần'</t>
  </si>
  <si>
    <t>Kiểm tra lọc gió máy lạnh</t>
  </si>
  <si>
    <t>Nếu lọc bẩn → vệ sinh ngay, tiết kiệm 3–5% điện</t>
  </si>
  <si>
    <t>Kiểm tra nhiệt độ phòng</t>
  </si>
  <si>
    <t>Đo tại 2 điểm (quầy pha và khu khách), ghi lại</t>
  </si>
  <si>
    <t>SÁNG (07:00–10:00)</t>
  </si>
  <si>
    <t>Tăng setpoint lên 26–27°C lúc 7:00</t>
  </si>
  <si>
    <t>Không để 24°C quá lâu – lãng phí điện khi ít khách</t>
  </si>
  <si>
    <t>Giảm xuống 25.5°C lúc 9:30</t>
  </si>
  <si>
    <t>Chuẩn bị đón lượng khách chiều cao điểm</t>
  </si>
  <si>
    <t>KHÔNG tắt tắt máy và bật lại</t>
  </si>
  <si>
    <t>Khởi động lại = đỉnh tải 3–5 phút = tốn điện</t>
  </si>
  <si>
    <t>CAO ĐIỂM (10:00–17:00)</t>
  </si>
  <si>
    <t>Đặt và giữ 25°C – không thay đổi</t>
  </si>
  <si>
    <t>Đây là mức tối ưu. Giảm thêm không tăng tiện nghi nhưng tốn điện.</t>
  </si>
  <si>
    <t>Kiểm tra nhiệt độ thực mỗi 2h</t>
  </si>
  <si>
    <t>Nếu &gt; 26°C → điều tra: lọc bẩn? Mở cửa nhiều? Đèn quá nhiều?</t>
  </si>
  <si>
    <t>QTCS</t>
  </si>
  <si>
    <t>Ghi lại số lần khách phàn nàn nhiệt độ</t>
  </si>
  <si>
    <t>Mục tiêu: &lt; 2 lần / ngày</t>
  </si>
  <si>
    <t>TỐI (17:00–22:30)</t>
  </si>
  <si>
    <t>Tăng setpoint lên 26°C lúc 17:00</t>
  </si>
  <si>
    <t>Outdoor giảm, ít khách → 26°C đủ tiện nghi</t>
  </si>
  <si>
    <t>Tăng lên 26.5°C lúc 20:00</t>
  </si>
  <si>
    <t>Tiếp tục tối ưu khi outdoor ~ 29°C</t>
  </si>
  <si>
    <t>Tắt 1 máy hoặc tăng 27°C lúc 21:00</t>
  </si>
  <si>
    <t>Chỉ còn &lt; 20% khách. Tiết kiệm ~1.5 kWh/h</t>
  </si>
  <si>
    <t>Đọc chỉ số đồng hồ lúc 22:30</t>
  </si>
  <si>
    <t>Ghi vào cột E Sheet 'Theo Dõi Tuần'</t>
  </si>
  <si>
    <t>Tắt toàn bộ AC sau 22:30</t>
  </si>
  <si>
    <t>Kiểm tra không còn máy nào chạy qua đêm</t>
  </si>
  <si>
    <t>HÀNG TUẦN (Thứ 2 đầu tuần)</t>
  </si>
  <si>
    <t>Tổng hợp kWh 7 ngày qua</t>
  </si>
  <si>
    <t>Sheet 'Theo Dõi Tuần' → tính % tiết kiệm tuần</t>
  </si>
  <si>
    <t>KTEE</t>
  </si>
  <si>
    <t>So sánh với baseline cùng kỳ 2025</t>
  </si>
  <si>
    <t>Báo cáo qua nhóm chat. Nếu &lt; 8% → kiểm tra lại lịch</t>
  </si>
  <si>
    <t>Vệ sinh lọc gió 2 máy AC</t>
  </si>
  <si>
    <t>Mỗi tuần 1 lần trong mùa hè, mỗi 2 tuần mùa còn lại</t>
  </si>
  <si>
    <t>Kiểm tra gas máy lạnh (quan sát)</t>
  </si>
  <si>
    <t>Nếu máy không đủ lạnh dù setpoint 25°C → báo kỹ thuật</t>
  </si>
  <si>
    <t>Kiểm tra hoạt động remote control</t>
  </si>
  <si>
    <t>Pin còn? Remote đặt đúng vị trí? Không bị che cảm biến?</t>
  </si>
  <si>
    <t>Chú thích:  NVCA = Nhân viên ca  |  QTCS = Quản lý ca  |  KTEE = Kỹ thuật EE (giám sát từ xa)  |  ✓ = Điền X hoặc ✓ sau khi hoàn thành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</si>
</sst>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"/>
    <numFmt numFmtId="165" formatCode="#,##0.0"/>
    <numFmt numFmtId="166" formatCode="0.0%"/>
  </numFmts>
  <fonts count="48" x14ac:knownFonts="1">
    <font>
      <sz val="11"/>
      <color theme="1"/>
      <name val="Calibri"/>
      <family val="2"/>
      <charset val="1"/>
    </font>
    <font>
      <b/>
      <sz val="16"/>
      <color rgb="FFFFFFFF"/>
      <name val="Arial"/>
      <family val="2"/>
    </font>
    <font>
      <i/>
      <sz val="9"/>
      <color rgb="FFAABBCC"/>
      <name val="Arial"/>
      <family val="2"/>
    </font>
    <font>
      <b/>
      <sz val="14"/>
      <color rgb="FF1D9E75"/>
      <name val="Arial"/>
      <family val="2"/>
    </font>
    <font>
      <b/>
      <sz val="14"/>
      <color rgb="FF7F5009"/>
      <name val="Arial"/>
      <family val="2"/>
    </font>
    <font>
      <b/>
      <sz val="14"/>
      <color rgb="FF375623"/>
      <name val="Arial"/>
      <family val="2"/>
    </font>
    <font>
      <b/>
      <sz val="14"/>
      <color rgb="FF1F4E79"/>
      <name val="Arial"/>
      <family val="2"/>
    </font>
    <font>
      <b/>
      <sz val="14"/>
      <color rgb="FFD85A30"/>
      <name val="Arial"/>
      <family val="2"/>
    </font>
    <font>
      <sz val="8"/>
      <color rgb="FF595959"/>
      <name val="Arial"/>
      <family val="2"/>
    </font>
    <font>
      <b/>
      <sz val="11"/>
      <color rgb="FFFFFFFF"/>
      <name val="Arial"/>
      <family val="2"/>
    </font>
    <font>
      <b/>
      <sz val="10"/>
      <color rgb="FF1F4E79"/>
      <name val="Arial"/>
      <family val="2"/>
    </font>
    <font>
      <sz val="9"/>
      <color rgb="FF333333"/>
      <name val="Arial"/>
      <family val="2"/>
    </font>
    <font>
      <b/>
      <sz val="9"/>
      <color rgb="FF1D9E75"/>
      <name val="Arial"/>
      <family val="2"/>
    </font>
    <font>
      <sz val="9"/>
      <color rgb="FF000000"/>
      <name val="Arial"/>
      <family val="2"/>
    </font>
    <font>
      <b/>
      <sz val="13"/>
      <color rgb="FFFFFFFF"/>
      <name val="Arial"/>
      <family val="2"/>
    </font>
    <font>
      <i/>
      <sz val="9"/>
      <color rgb="FFAAAAAA"/>
      <name val="Arial"/>
      <family val="2"/>
    </font>
    <font>
      <b/>
      <sz val="10"/>
      <color rgb="FFFFFFFF"/>
      <name val="Arial"/>
      <family val="2"/>
    </font>
    <font>
      <b/>
      <sz val="10"/>
      <color rgb="FF000000"/>
      <name val="Arial"/>
      <family val="2"/>
    </font>
    <font>
      <b/>
      <sz val="8.5"/>
      <color rgb="FF1F4E79"/>
      <name val="Arial"/>
      <family val="2"/>
    </font>
    <font>
      <b/>
      <sz val="10"/>
      <color rgb="FFC00000"/>
      <name val="Arial"/>
      <family val="2"/>
    </font>
    <font>
      <b/>
      <sz val="9"/>
      <color rgb="FF000000"/>
      <name val="Arial"/>
      <family val="2"/>
    </font>
    <font>
      <b/>
      <sz val="10"/>
      <color rgb="FF595959"/>
      <name val="Arial"/>
      <family val="2"/>
    </font>
    <font>
      <sz val="8"/>
      <color rgb="FF444444"/>
      <name val="Arial"/>
      <family val="2"/>
    </font>
    <font>
      <b/>
      <sz val="9"/>
      <color rgb="FF595959"/>
      <name val="Arial"/>
      <family val="2"/>
    </font>
    <font>
      <b/>
      <sz val="9"/>
      <color rgb="FF375623"/>
      <name val="Arial"/>
      <family val="2"/>
    </font>
    <font>
      <b/>
      <sz val="10"/>
      <color rgb="FF375623"/>
      <name val="Arial"/>
      <family val="2"/>
    </font>
    <font>
      <b/>
      <sz val="9"/>
      <name val="Arial"/>
      <family val="2"/>
    </font>
    <font>
      <b/>
      <sz val="10"/>
      <color rgb="FF0000FF"/>
      <name val="Arial"/>
      <family val="2"/>
    </font>
    <font>
      <b/>
      <sz val="10"/>
      <color rgb="FF2E75B6"/>
      <name val="Arial"/>
      <family val="2"/>
    </font>
    <font>
      <b/>
      <sz val="11"/>
      <color rgb="FF2E75B6"/>
      <name val="Arial"/>
      <family val="2"/>
    </font>
    <font>
      <sz val="10"/>
      <color rgb="FF2E75B6"/>
      <name val="Arial"/>
      <family val="2"/>
    </font>
    <font>
      <sz val="10"/>
      <color rgb="FF595959"/>
      <name val="Arial"/>
      <family val="2"/>
    </font>
    <font>
      <b/>
      <sz val="10"/>
      <color rgb="FF1D9E75"/>
      <name val="Arial"/>
      <family val="2"/>
    </font>
    <font>
      <b/>
      <sz val="11"/>
      <color rgb="FF1D9E75"/>
      <name val="Arial"/>
      <family val="2"/>
    </font>
    <font>
      <sz val="10"/>
      <color rgb="FF1D9E75"/>
      <name val="Arial"/>
      <family val="2"/>
    </font>
    <font>
      <b/>
      <sz val="11"/>
      <color rgb="FF375623"/>
      <name val="Arial"/>
      <family val="2"/>
    </font>
    <font>
      <sz val="10"/>
      <color rgb="FF375623"/>
      <name val="Arial"/>
      <family val="2"/>
    </font>
    <font>
      <b/>
      <sz val="12"/>
      <color rgb="FFFFFFFF"/>
      <name val="Arial"/>
      <family val="2"/>
    </font>
    <font>
      <i/>
      <sz val="8.5"/>
      <color rgb="FF1D9E75"/>
      <name val="Arial"/>
      <family val="2"/>
    </font>
    <font>
      <sz val="9"/>
      <color rgb="FF0000FF"/>
      <name val="Arial"/>
      <family val="2"/>
    </font>
    <font>
      <sz val="9"/>
      <name val="Arial"/>
      <family val="2"/>
    </font>
    <font>
      <sz val="8"/>
      <name val="Arial"/>
      <family val="2"/>
    </font>
    <font>
      <sz val="9"/>
      <color rgb="FF595959"/>
      <name val="Arial"/>
      <family val="2"/>
    </font>
    <font>
      <b/>
      <sz val="8.5"/>
      <color rgb="FFFFFFFF"/>
      <name val="Arial"/>
      <family val="2"/>
    </font>
    <font>
      <i/>
      <sz val="8.5"/>
      <color rgb="FF595959"/>
      <name val="Arial"/>
      <family val="2"/>
    </font>
    <font>
      <sz val="8.5"/>
      <color rgb="FF000000"/>
      <name val="Arial"/>
      <family val="2"/>
    </font>
    <font>
      <b/>
      <sz val="8.5"/>
      <color rgb="FF000000"/>
      <name val="Arial"/>
      <family val="2"/>
    </font>
    <font>
      <i/>
      <sz val="8"/>
      <color rgb="FF595959"/>
      <name val="Arial"/>
      <family val="2"/>
    </font>
  </fonts>
  <fills count="19">
    <fill>
      <patternFill patternType="none"/>
    </fill>
    <fill>
      <patternFill patternType="gray125"/>
    </fill>
    <fill>
      <patternFill patternType="solid">
        <fgColor rgb="FF0B1520"/>
        <bgColor rgb="FF000000"/>
      </patternFill>
    </fill>
    <fill>
      <patternFill patternType="solid">
        <fgColor rgb="FFE1F5EE"/>
        <bgColor rgb="FFE2EFDA"/>
      </patternFill>
    </fill>
    <fill>
      <patternFill patternType="solid">
        <fgColor rgb="FFFFF2CC"/>
        <bgColor rgb="FFFCE4D6"/>
      </patternFill>
    </fill>
    <fill>
      <patternFill patternType="solid">
        <fgColor rgb="FFE2EFDA"/>
        <bgColor rgb="FFE1F5EE"/>
      </patternFill>
    </fill>
    <fill>
      <patternFill patternType="solid">
        <fgColor rgb="FFDEEAF1"/>
        <bgColor rgb="FFE1F5EE"/>
      </patternFill>
    </fill>
    <fill>
      <patternFill patternType="solid">
        <fgColor rgb="FFFCE4D6"/>
        <bgColor rgb="FFFFF2CC"/>
      </patternFill>
    </fill>
    <fill>
      <patternFill patternType="solid">
        <fgColor rgb="FF2E75B6"/>
        <bgColor rgb="FF0066CC"/>
      </patternFill>
    </fill>
    <fill>
      <patternFill patternType="solid">
        <fgColor rgb="FFF2F2F2"/>
        <bgColor rgb="FFE1F5EE"/>
      </patternFill>
    </fill>
    <fill>
      <patternFill patternType="solid">
        <fgColor rgb="FF1D9E75"/>
        <bgColor rgb="FF008080"/>
      </patternFill>
    </fill>
    <fill>
      <patternFill patternType="solid">
        <fgColor rgb="FFFFFFFF"/>
        <bgColor rgb="FFF2F2F2"/>
      </patternFill>
    </fill>
    <fill>
      <patternFill patternType="solid">
        <fgColor rgb="FF1F4E79"/>
        <bgColor rgb="FF003366"/>
      </patternFill>
    </fill>
    <fill>
      <patternFill patternType="solid">
        <fgColor rgb="FFD85A30"/>
        <bgColor rgb="FFFF8080"/>
      </patternFill>
    </fill>
    <fill>
      <patternFill patternType="solid">
        <fgColor rgb="FF7F5009"/>
        <bgColor rgb="FF595959"/>
      </patternFill>
    </fill>
    <fill>
      <patternFill patternType="solid">
        <fgColor rgb="FF375623"/>
        <bgColor rgb="FF444444"/>
      </patternFill>
    </fill>
    <fill>
      <patternFill patternType="solid">
        <fgColor rgb="FFFFCCCC"/>
        <bgColor rgb="FFFCE4D6"/>
      </patternFill>
    </fill>
    <fill>
      <patternFill patternType="solid">
        <fgColor rgb="FFBDD7EE"/>
        <bgColor rgb="FFD9D9D9"/>
      </patternFill>
    </fill>
    <fill>
      <patternFill patternType="solid">
        <fgColor rgb="FFD9D9D9"/>
        <bgColor rgb="FFDEEAF1"/>
      </patternFill>
    </fill>
  </fills>
  <borders count="3">
    <border>
      <left/>
      <right/>
      <top/>
      <bottom/>
      <diagonal/>
    </border>
    <border>
      <left style="thin">
        <color rgb="FFBFBFBF"/>
      </left>
      <right/>
      <top style="thin">
        <color rgb="FFBFBFBF"/>
      </top>
      <bottom style="thin">
        <color rgb="FFBFBFBF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138">
    <xf numFmtId="0" fontId="0" fillId="0" borderId="0" xfId="0"/>
    <xf numFmtId="0" fontId="10" fillId="3" borderId="1" xfId="0" applyFont="1" applyFill="1" applyBorder="1" applyAlignment="1">
      <alignment horizontal="left" vertical="center" wrapText="1"/>
    </xf>
    <xf numFmtId="0" fontId="9" fillId="8" borderId="0" xfId="0" applyFont="1" applyFill="1" applyAlignment="1">
      <alignment horizontal="center" vertical="center" wrapText="1"/>
    </xf>
    <xf numFmtId="0" fontId="8" fillId="7" borderId="1" xfId="0" applyFont="1" applyFill="1" applyBorder="1" applyAlignment="1">
      <alignment horizontal="center" vertical="center" wrapText="1"/>
    </xf>
    <xf numFmtId="0" fontId="8" fillId="6" borderId="1" xfId="0" applyFont="1" applyFill="1" applyBorder="1" applyAlignment="1">
      <alignment horizontal="center" vertical="center" wrapText="1"/>
    </xf>
    <xf numFmtId="0" fontId="8" fillId="5" borderId="1" xfId="0" applyFont="1" applyFill="1" applyBorder="1" applyAlignment="1">
      <alignment horizontal="center" vertical="center" wrapText="1"/>
    </xf>
    <xf numFmtId="0" fontId="8" fillId="4" borderId="1" xfId="0" applyFont="1" applyFill="1" applyBorder="1" applyAlignment="1">
      <alignment horizontal="center" vertical="center" wrapText="1"/>
    </xf>
    <xf numFmtId="0" fontId="8" fillId="3" borderId="1" xfId="0" applyFont="1" applyFill="1" applyBorder="1" applyAlignment="1">
      <alignment horizontal="center" vertical="center" wrapText="1"/>
    </xf>
    <xf numFmtId="0" fontId="7" fillId="7" borderId="1" xfId="0" applyFont="1" applyFill="1" applyBorder="1" applyAlignment="1">
      <alignment horizontal="center" vertical="center" wrapText="1"/>
    </xf>
    <xf numFmtId="0" fontId="6" fillId="6" borderId="1" xfId="0" applyFont="1" applyFill="1" applyBorder="1" applyAlignment="1">
      <alignment horizontal="center" vertical="center" wrapText="1"/>
    </xf>
    <xf numFmtId="0" fontId="5" fillId="5" borderId="1" xfId="0" applyFont="1" applyFill="1" applyBorder="1" applyAlignment="1">
      <alignment horizontal="center" vertical="center" wrapText="1"/>
    </xf>
    <xf numFmtId="0" fontId="4" fillId="4" borderId="1" xfId="0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 wrapText="1"/>
    </xf>
    <xf numFmtId="0" fontId="2" fillId="2" borderId="0" xfId="0" applyFont="1" applyFill="1" applyAlignment="1">
      <alignment horizontal="center" vertical="center" wrapText="1"/>
    </xf>
    <xf numFmtId="0" fontId="1" fillId="2" borderId="0" xfId="0" applyFont="1" applyFill="1" applyAlignment="1">
      <alignment horizontal="center" vertical="center" wrapText="1"/>
    </xf>
    <xf numFmtId="0" fontId="9" fillId="10" borderId="2" xfId="0" applyFont="1" applyFill="1" applyBorder="1" applyAlignment="1">
      <alignment horizontal="center" vertical="center" wrapText="1"/>
    </xf>
    <xf numFmtId="0" fontId="16" fillId="12" borderId="2" xfId="0" applyFont="1" applyFill="1" applyBorder="1" applyAlignment="1">
      <alignment horizontal="center" vertical="center" wrapText="1"/>
    </xf>
    <xf numFmtId="0" fontId="17" fillId="7" borderId="2" xfId="0" applyFont="1" applyFill="1" applyBorder="1" applyAlignment="1">
      <alignment horizontal="center" vertical="center" wrapText="1"/>
    </xf>
    <xf numFmtId="0" fontId="17" fillId="4" borderId="2" xfId="0" applyFont="1" applyFill="1" applyBorder="1" applyAlignment="1">
      <alignment horizontal="center" vertical="center" wrapText="1"/>
    </xf>
    <xf numFmtId="0" fontId="17" fillId="6" borderId="2" xfId="0" applyFont="1" applyFill="1" applyBorder="1" applyAlignment="1">
      <alignment horizontal="center" vertical="center" wrapText="1"/>
    </xf>
    <xf numFmtId="0" fontId="18" fillId="6" borderId="2" xfId="0" applyFont="1" applyFill="1" applyBorder="1" applyAlignment="1">
      <alignment horizontal="center" vertical="center" wrapText="1"/>
    </xf>
    <xf numFmtId="0" fontId="13" fillId="11" borderId="2" xfId="0" applyFont="1" applyFill="1" applyBorder="1" applyAlignment="1">
      <alignment horizontal="center" vertical="center" wrapText="1"/>
    </xf>
    <xf numFmtId="0" fontId="19" fillId="16" borderId="2" xfId="0" applyFont="1" applyFill="1" applyBorder="1" applyAlignment="1">
      <alignment horizontal="center" vertical="center" wrapText="1"/>
    </xf>
    <xf numFmtId="0" fontId="13" fillId="7" borderId="2" xfId="0" applyFont="1" applyFill="1" applyBorder="1" applyAlignment="1">
      <alignment horizontal="center" vertical="center" wrapText="1"/>
    </xf>
    <xf numFmtId="164" fontId="13" fillId="7" borderId="2" xfId="0" applyNumberFormat="1" applyFont="1" applyFill="1" applyBorder="1" applyAlignment="1">
      <alignment horizontal="center" vertical="center" wrapText="1"/>
    </xf>
    <xf numFmtId="2" fontId="20" fillId="7" borderId="2" xfId="0" applyNumberFormat="1" applyFont="1" applyFill="1" applyBorder="1" applyAlignment="1">
      <alignment horizontal="center" vertical="center" wrapText="1"/>
    </xf>
    <xf numFmtId="0" fontId="13" fillId="4" borderId="2" xfId="0" applyFont="1" applyFill="1" applyBorder="1" applyAlignment="1">
      <alignment horizontal="center" vertical="center" wrapText="1"/>
    </xf>
    <xf numFmtId="164" fontId="13" fillId="4" borderId="2" xfId="0" applyNumberFormat="1" applyFont="1" applyFill="1" applyBorder="1" applyAlignment="1">
      <alignment horizontal="center" vertical="center" wrapText="1"/>
    </xf>
    <xf numFmtId="2" fontId="20" fillId="4" borderId="2" xfId="0" applyNumberFormat="1" applyFont="1" applyFill="1" applyBorder="1" applyAlignment="1">
      <alignment horizontal="center" vertical="center" wrapText="1"/>
    </xf>
    <xf numFmtId="0" fontId="21" fillId="6" borderId="2" xfId="0" applyFont="1" applyFill="1" applyBorder="1" applyAlignment="1">
      <alignment horizontal="center" vertical="center" wrapText="1"/>
    </xf>
    <xf numFmtId="0" fontId="13" fillId="6" borderId="2" xfId="0" applyFont="1" applyFill="1" applyBorder="1" applyAlignment="1">
      <alignment horizontal="center" vertical="center" wrapText="1"/>
    </xf>
    <xf numFmtId="164" fontId="13" fillId="6" borderId="2" xfId="0" applyNumberFormat="1" applyFont="1" applyFill="1" applyBorder="1" applyAlignment="1">
      <alignment horizontal="center" vertical="center" wrapText="1"/>
    </xf>
    <xf numFmtId="2" fontId="20" fillId="6" borderId="2" xfId="0" applyNumberFormat="1" applyFont="1" applyFill="1" applyBorder="1" applyAlignment="1">
      <alignment horizontal="center" vertical="center" wrapText="1"/>
    </xf>
    <xf numFmtId="0" fontId="13" fillId="9" borderId="2" xfId="0" applyFont="1" applyFill="1" applyBorder="1" applyAlignment="1">
      <alignment horizontal="center" vertical="center" wrapText="1"/>
    </xf>
    <xf numFmtId="0" fontId="17" fillId="11" borderId="2" xfId="0" applyFont="1" applyFill="1" applyBorder="1" applyAlignment="1">
      <alignment horizontal="center" vertical="center" wrapText="1"/>
    </xf>
    <xf numFmtId="0" fontId="10" fillId="6" borderId="2" xfId="0" applyFont="1" applyFill="1" applyBorder="1" applyAlignment="1">
      <alignment horizontal="center" vertical="center" wrapText="1"/>
    </xf>
    <xf numFmtId="2" fontId="9" fillId="12" borderId="2" xfId="0" applyNumberFormat="1" applyFont="1" applyFill="1" applyBorder="1" applyAlignment="1">
      <alignment horizontal="center" vertical="center" wrapText="1"/>
    </xf>
    <xf numFmtId="2" fontId="21" fillId="9" borderId="2" xfId="0" applyNumberFormat="1" applyFont="1" applyFill="1" applyBorder="1" applyAlignment="1">
      <alignment horizontal="center" vertical="center" wrapText="1"/>
    </xf>
    <xf numFmtId="2" fontId="25" fillId="5" borderId="2" xfId="0" applyNumberFormat="1" applyFont="1" applyFill="1" applyBorder="1" applyAlignment="1">
      <alignment horizontal="center" vertical="center" wrapText="1"/>
    </xf>
    <xf numFmtId="0" fontId="27" fillId="4" borderId="2" xfId="0" applyFont="1" applyFill="1" applyBorder="1" applyAlignment="1">
      <alignment horizontal="center" vertical="center" wrapText="1"/>
    </xf>
    <xf numFmtId="0" fontId="8" fillId="11" borderId="2" xfId="0" applyFont="1" applyFill="1" applyBorder="1" applyAlignment="1">
      <alignment horizontal="center" vertical="center" wrapText="1"/>
    </xf>
    <xf numFmtId="2" fontId="17" fillId="11" borderId="2" xfId="0" applyNumberFormat="1" applyFont="1" applyFill="1" applyBorder="1" applyAlignment="1">
      <alignment horizontal="center" vertical="center" wrapText="1"/>
    </xf>
    <xf numFmtId="2" fontId="27" fillId="4" borderId="2" xfId="0" applyNumberFormat="1" applyFont="1" applyFill="1" applyBorder="1" applyAlignment="1">
      <alignment horizontal="center" vertical="center" wrapText="1"/>
    </xf>
    <xf numFmtId="0" fontId="28" fillId="17" borderId="2" xfId="0" applyFont="1" applyFill="1" applyBorder="1" applyAlignment="1">
      <alignment horizontal="left" vertical="center" wrapText="1"/>
    </xf>
    <xf numFmtId="9" fontId="29" fillId="17" borderId="2" xfId="0" applyNumberFormat="1" applyFont="1" applyFill="1" applyBorder="1" applyAlignment="1">
      <alignment horizontal="center" vertical="center" wrapText="1"/>
    </xf>
    <xf numFmtId="2" fontId="28" fillId="17" borderId="2" xfId="0" applyNumberFormat="1" applyFont="1" applyFill="1" applyBorder="1" applyAlignment="1">
      <alignment horizontal="center" vertical="center" wrapText="1"/>
    </xf>
    <xf numFmtId="1" fontId="30" fillId="17" borderId="2" xfId="0" applyNumberFormat="1" applyFont="1" applyFill="1" applyBorder="1" applyAlignment="1">
      <alignment horizontal="center" vertical="center" wrapText="1"/>
    </xf>
    <xf numFmtId="3" fontId="28" fillId="17" borderId="2" xfId="0" applyNumberFormat="1" applyFont="1" applyFill="1" applyBorder="1" applyAlignment="1">
      <alignment horizontal="center" vertical="center" wrapText="1"/>
    </xf>
    <xf numFmtId="3" fontId="30" fillId="17" borderId="2" xfId="0" applyNumberFormat="1" applyFont="1" applyFill="1" applyBorder="1" applyAlignment="1">
      <alignment horizontal="center" vertical="center" wrapText="1"/>
    </xf>
    <xf numFmtId="3" fontId="29" fillId="17" borderId="2" xfId="0" applyNumberFormat="1" applyFont="1" applyFill="1" applyBorder="1" applyAlignment="1">
      <alignment horizontal="center" vertical="center" wrapText="1"/>
    </xf>
    <xf numFmtId="3" fontId="31" fillId="17" borderId="2" xfId="0" applyNumberFormat="1" applyFont="1" applyFill="1" applyBorder="1" applyAlignment="1">
      <alignment horizontal="center" vertical="center" wrapText="1"/>
    </xf>
    <xf numFmtId="164" fontId="28" fillId="17" borderId="2" xfId="0" applyNumberFormat="1" applyFont="1" applyFill="1" applyBorder="1" applyAlignment="1">
      <alignment horizontal="center" vertical="center" wrapText="1"/>
    </xf>
    <xf numFmtId="9" fontId="25" fillId="17" borderId="2" xfId="0" applyNumberFormat="1" applyFont="1" applyFill="1" applyBorder="1" applyAlignment="1">
      <alignment horizontal="center" vertical="center" wrapText="1"/>
    </xf>
    <xf numFmtId="0" fontId="28" fillId="17" borderId="2" xfId="0" applyFont="1" applyFill="1" applyBorder="1" applyAlignment="1">
      <alignment horizontal="center" vertical="center" wrapText="1"/>
    </xf>
    <xf numFmtId="0" fontId="32" fillId="3" borderId="2" xfId="0" applyFont="1" applyFill="1" applyBorder="1" applyAlignment="1">
      <alignment horizontal="left" vertical="center" wrapText="1"/>
    </xf>
    <xf numFmtId="9" fontId="33" fillId="3" borderId="2" xfId="0" applyNumberFormat="1" applyFont="1" applyFill="1" applyBorder="1" applyAlignment="1">
      <alignment horizontal="center" vertical="center" wrapText="1"/>
    </xf>
    <xf numFmtId="2" fontId="32" fillId="3" borderId="2" xfId="0" applyNumberFormat="1" applyFont="1" applyFill="1" applyBorder="1" applyAlignment="1">
      <alignment horizontal="center" vertical="center" wrapText="1"/>
    </xf>
    <xf numFmtId="1" fontId="34" fillId="3" borderId="2" xfId="0" applyNumberFormat="1" applyFont="1" applyFill="1" applyBorder="1" applyAlignment="1">
      <alignment horizontal="center" vertical="center" wrapText="1"/>
    </xf>
    <xf numFmtId="3" fontId="32" fillId="3" borderId="2" xfId="0" applyNumberFormat="1" applyFont="1" applyFill="1" applyBorder="1" applyAlignment="1">
      <alignment horizontal="center" vertical="center" wrapText="1"/>
    </xf>
    <xf numFmtId="3" fontId="34" fillId="3" borderId="2" xfId="0" applyNumberFormat="1" applyFont="1" applyFill="1" applyBorder="1" applyAlignment="1">
      <alignment horizontal="center" vertical="center" wrapText="1"/>
    </xf>
    <xf numFmtId="3" fontId="33" fillId="3" borderId="2" xfId="0" applyNumberFormat="1" applyFont="1" applyFill="1" applyBorder="1" applyAlignment="1">
      <alignment horizontal="center" vertical="center" wrapText="1"/>
    </xf>
    <xf numFmtId="3" fontId="31" fillId="3" borderId="2" xfId="0" applyNumberFormat="1" applyFont="1" applyFill="1" applyBorder="1" applyAlignment="1">
      <alignment horizontal="center" vertical="center" wrapText="1"/>
    </xf>
    <xf numFmtId="164" fontId="32" fillId="3" borderId="2" xfId="0" applyNumberFormat="1" applyFont="1" applyFill="1" applyBorder="1" applyAlignment="1">
      <alignment horizontal="center" vertical="center" wrapText="1"/>
    </xf>
    <xf numFmtId="9" fontId="25" fillId="3" borderId="2" xfId="0" applyNumberFormat="1" applyFont="1" applyFill="1" applyBorder="1" applyAlignment="1">
      <alignment horizontal="center" vertical="center" wrapText="1"/>
    </xf>
    <xf numFmtId="0" fontId="32" fillId="3" borderId="2" xfId="0" applyFont="1" applyFill="1" applyBorder="1" applyAlignment="1">
      <alignment horizontal="center" vertical="center" wrapText="1"/>
    </xf>
    <xf numFmtId="0" fontId="25" fillId="5" borderId="2" xfId="0" applyFont="1" applyFill="1" applyBorder="1" applyAlignment="1">
      <alignment horizontal="left" vertical="center" wrapText="1"/>
    </xf>
    <xf numFmtId="9" fontId="35" fillId="5" borderId="2" xfId="0" applyNumberFormat="1" applyFont="1" applyFill="1" applyBorder="1" applyAlignment="1">
      <alignment horizontal="center" vertical="center" wrapText="1"/>
    </xf>
    <xf numFmtId="1" fontId="36" fillId="5" borderId="2" xfId="0" applyNumberFormat="1" applyFont="1" applyFill="1" applyBorder="1" applyAlignment="1">
      <alignment horizontal="center" vertical="center" wrapText="1"/>
    </xf>
    <xf numFmtId="3" fontId="25" fillId="5" borderId="2" xfId="0" applyNumberFormat="1" applyFont="1" applyFill="1" applyBorder="1" applyAlignment="1">
      <alignment horizontal="center" vertical="center" wrapText="1"/>
    </xf>
    <xf numFmtId="3" fontId="36" fillId="5" borderId="2" xfId="0" applyNumberFormat="1" applyFont="1" applyFill="1" applyBorder="1" applyAlignment="1">
      <alignment horizontal="center" vertical="center" wrapText="1"/>
    </xf>
    <xf numFmtId="3" fontId="35" fillId="5" borderId="2" xfId="0" applyNumberFormat="1" applyFont="1" applyFill="1" applyBorder="1" applyAlignment="1">
      <alignment horizontal="center" vertical="center" wrapText="1"/>
    </xf>
    <xf numFmtId="3" fontId="31" fillId="5" borderId="2" xfId="0" applyNumberFormat="1" applyFont="1" applyFill="1" applyBorder="1" applyAlignment="1">
      <alignment horizontal="center" vertical="center" wrapText="1"/>
    </xf>
    <xf numFmtId="164" fontId="25" fillId="5" borderId="2" xfId="0" applyNumberFormat="1" applyFont="1" applyFill="1" applyBorder="1" applyAlignment="1">
      <alignment horizontal="center" vertical="center" wrapText="1"/>
    </xf>
    <xf numFmtId="9" fontId="25" fillId="5" borderId="2" xfId="0" applyNumberFormat="1" applyFont="1" applyFill="1" applyBorder="1" applyAlignment="1">
      <alignment horizontal="center" vertical="center" wrapText="1"/>
    </xf>
    <xf numFmtId="0" fontId="25" fillId="5" borderId="2" xfId="0" applyFont="1" applyFill="1" applyBorder="1" applyAlignment="1">
      <alignment horizontal="center" vertical="center" wrapText="1"/>
    </xf>
    <xf numFmtId="164" fontId="13" fillId="11" borderId="2" xfId="0" applyNumberFormat="1" applyFont="1" applyFill="1" applyBorder="1" applyAlignment="1">
      <alignment horizontal="center" vertical="center" wrapText="1"/>
    </xf>
    <xf numFmtId="165" fontId="39" fillId="4" borderId="2" xfId="0" applyNumberFormat="1" applyFont="1" applyFill="1" applyBorder="1" applyAlignment="1">
      <alignment horizontal="center" vertical="center" wrapText="1"/>
    </xf>
    <xf numFmtId="164" fontId="40" fillId="11" borderId="2" xfId="0" applyNumberFormat="1" applyFont="1" applyFill="1" applyBorder="1" applyAlignment="1">
      <alignment horizontal="center" vertical="center" wrapText="1"/>
    </xf>
    <xf numFmtId="164" fontId="26" fillId="11" borderId="2" xfId="0" applyNumberFormat="1" applyFont="1" applyFill="1" applyBorder="1" applyAlignment="1">
      <alignment horizontal="center" vertical="center" wrapText="1"/>
    </xf>
    <xf numFmtId="166" fontId="12" fillId="5" borderId="2" xfId="0" applyNumberFormat="1" applyFont="1" applyFill="1" applyBorder="1" applyAlignment="1">
      <alignment horizontal="center" vertical="center" wrapText="1"/>
    </xf>
    <xf numFmtId="164" fontId="39" fillId="4" borderId="2" xfId="0" applyNumberFormat="1" applyFont="1" applyFill="1" applyBorder="1" applyAlignment="1">
      <alignment horizontal="center" vertical="center" wrapText="1"/>
    </xf>
    <xf numFmtId="0" fontId="39" fillId="4" borderId="2" xfId="0" applyFont="1" applyFill="1" applyBorder="1" applyAlignment="1">
      <alignment horizontal="center" vertical="center" wrapText="1"/>
    </xf>
    <xf numFmtId="0" fontId="41" fillId="11" borderId="2" xfId="0" applyFont="1" applyFill="1" applyBorder="1" applyAlignment="1">
      <alignment horizontal="left" vertical="center" wrapText="1"/>
    </xf>
    <xf numFmtId="0" fontId="41" fillId="11" borderId="2" xfId="0" applyFont="1" applyFill="1" applyBorder="1" applyAlignment="1">
      <alignment horizontal="center" vertical="center" wrapText="1"/>
    </xf>
    <xf numFmtId="164" fontId="40" fillId="6" borderId="2" xfId="0" applyNumberFormat="1" applyFont="1" applyFill="1" applyBorder="1" applyAlignment="1">
      <alignment horizontal="center" vertical="center" wrapText="1"/>
    </xf>
    <xf numFmtId="164" fontId="26" fillId="6" borderId="2" xfId="0" applyNumberFormat="1" applyFont="1" applyFill="1" applyBorder="1" applyAlignment="1">
      <alignment horizontal="center" vertical="center" wrapText="1"/>
    </xf>
    <xf numFmtId="0" fontId="41" fillId="6" borderId="2" xfId="0" applyFont="1" applyFill="1" applyBorder="1" applyAlignment="1">
      <alignment horizontal="left" vertical="center" wrapText="1"/>
    </xf>
    <xf numFmtId="0" fontId="41" fillId="6" borderId="2" xfId="0" applyFont="1" applyFill="1" applyBorder="1" applyAlignment="1">
      <alignment horizontal="center" vertical="center" wrapText="1"/>
    </xf>
    <xf numFmtId="0" fontId="42" fillId="18" borderId="2" xfId="0" applyFont="1" applyFill="1" applyBorder="1" applyAlignment="1">
      <alignment horizontal="center" vertical="center" wrapText="1"/>
    </xf>
    <xf numFmtId="164" fontId="13" fillId="9" borderId="2" xfId="0" applyNumberFormat="1" applyFont="1" applyFill="1" applyBorder="1" applyAlignment="1">
      <alignment horizontal="center" vertical="center" wrapText="1"/>
    </xf>
    <xf numFmtId="164" fontId="40" fillId="9" borderId="2" xfId="0" applyNumberFormat="1" applyFont="1" applyFill="1" applyBorder="1" applyAlignment="1">
      <alignment horizontal="center" vertical="center" wrapText="1"/>
    </xf>
    <xf numFmtId="164" fontId="26" fillId="9" borderId="2" xfId="0" applyNumberFormat="1" applyFont="1" applyFill="1" applyBorder="1" applyAlignment="1">
      <alignment horizontal="center" vertical="center" wrapText="1"/>
    </xf>
    <xf numFmtId="0" fontId="12" fillId="9" borderId="2" xfId="0" applyFont="1" applyFill="1" applyBorder="1" applyAlignment="1">
      <alignment horizontal="center" vertical="center" wrapText="1"/>
    </xf>
    <xf numFmtId="164" fontId="42" fillId="9" borderId="2" xfId="0" applyNumberFormat="1" applyFont="1" applyFill="1" applyBorder="1" applyAlignment="1">
      <alignment horizontal="center" vertical="center" wrapText="1"/>
    </xf>
    <xf numFmtId="0" fontId="42" fillId="9" borderId="2" xfId="0" applyFont="1" applyFill="1" applyBorder="1" applyAlignment="1">
      <alignment horizontal="center" vertical="center" wrapText="1"/>
    </xf>
    <xf numFmtId="0" fontId="41" fillId="9" borderId="2" xfId="0" applyFont="1" applyFill="1" applyBorder="1" applyAlignment="1">
      <alignment horizontal="left" vertical="center" wrapText="1"/>
    </xf>
    <xf numFmtId="0" fontId="41" fillId="9" borderId="2" xfId="0" applyFont="1" applyFill="1" applyBorder="1" applyAlignment="1">
      <alignment horizontal="center" vertical="center" wrapText="1"/>
    </xf>
    <xf numFmtId="0" fontId="43" fillId="10" borderId="2" xfId="0" applyFont="1" applyFill="1" applyBorder="1" applyAlignment="1">
      <alignment horizontal="center" vertical="center" wrapText="1"/>
    </xf>
    <xf numFmtId="0" fontId="16" fillId="8" borderId="2" xfId="0" applyFont="1" applyFill="1" applyBorder="1" applyAlignment="1">
      <alignment horizontal="center" vertical="center" wrapText="1"/>
    </xf>
    <xf numFmtId="0" fontId="45" fillId="11" borderId="2" xfId="0" applyFont="1" applyFill="1" applyBorder="1" applyAlignment="1">
      <alignment horizontal="center" vertical="center" wrapText="1"/>
    </xf>
    <xf numFmtId="0" fontId="0" fillId="5" borderId="2" xfId="0" applyFill="1" applyBorder="1" applyAlignment="1">
      <alignment horizontal="center" vertical="center" wrapText="1"/>
    </xf>
    <xf numFmtId="0" fontId="17" fillId="9" borderId="2" xfId="0" applyFont="1" applyFill="1" applyBorder="1" applyAlignment="1">
      <alignment horizontal="center" vertical="center" wrapText="1"/>
    </xf>
    <xf numFmtId="0" fontId="45" fillId="9" borderId="2" xfId="0" applyFont="1" applyFill="1" applyBorder="1" applyAlignment="1">
      <alignment horizontal="center" vertical="center" wrapText="1"/>
    </xf>
    <xf numFmtId="0" fontId="45" fillId="4" borderId="2" xfId="0" applyFont="1" applyFill="1" applyBorder="1" applyAlignment="1">
      <alignment horizontal="center" vertical="center" wrapText="1"/>
    </xf>
    <xf numFmtId="0" fontId="46" fillId="3" borderId="2" xfId="0" applyFont="1" applyFill="1" applyBorder="1" applyAlignment="1">
      <alignment horizontal="center" vertical="center" wrapText="1"/>
    </xf>
    <xf numFmtId="0" fontId="11" fillId="3" borderId="1" xfId="0" applyFont="1" applyFill="1" applyBorder="1" applyAlignment="1">
      <alignment horizontal="left" vertical="center" wrapText="1"/>
    </xf>
    <xf numFmtId="0" fontId="10" fillId="5" borderId="1" xfId="0" applyFont="1" applyFill="1" applyBorder="1" applyAlignment="1">
      <alignment horizontal="left" vertical="center" wrapText="1"/>
    </xf>
    <xf numFmtId="0" fontId="11" fillId="5" borderId="1" xfId="0" applyFont="1" applyFill="1" applyBorder="1" applyAlignment="1">
      <alignment horizontal="left" vertical="center" wrapText="1"/>
    </xf>
    <xf numFmtId="0" fontId="10" fillId="4" borderId="1" xfId="0" applyFont="1" applyFill="1" applyBorder="1" applyAlignment="1">
      <alignment horizontal="left" vertical="center" wrapText="1"/>
    </xf>
    <xf numFmtId="0" fontId="11" fillId="4" borderId="1" xfId="0" applyFont="1" applyFill="1" applyBorder="1" applyAlignment="1">
      <alignment horizontal="left" vertical="center" wrapText="1"/>
    </xf>
    <xf numFmtId="0" fontId="10" fillId="9" borderId="1" xfId="0" applyFont="1" applyFill="1" applyBorder="1" applyAlignment="1">
      <alignment horizontal="left" vertical="center" wrapText="1"/>
    </xf>
    <xf numFmtId="0" fontId="11" fillId="9" borderId="1" xfId="0" applyFont="1" applyFill="1" applyBorder="1" applyAlignment="1">
      <alignment horizontal="left" vertical="center" wrapText="1"/>
    </xf>
    <xf numFmtId="0" fontId="9" fillId="10" borderId="0" xfId="0" applyFont="1" applyFill="1" applyAlignment="1">
      <alignment horizontal="center" vertical="center" wrapText="1"/>
    </xf>
    <xf numFmtId="0" fontId="12" fillId="3" borderId="1" xfId="0" applyFont="1" applyFill="1" applyBorder="1" applyAlignment="1">
      <alignment horizontal="left" vertical="center" wrapText="1"/>
    </xf>
    <xf numFmtId="0" fontId="13" fillId="11" borderId="1" xfId="0" applyFont="1" applyFill="1" applyBorder="1" applyAlignment="1">
      <alignment horizontal="left" vertical="center" wrapText="1"/>
    </xf>
    <xf numFmtId="0" fontId="14" fillId="2" borderId="0" xfId="0" applyFont="1" applyFill="1" applyAlignment="1">
      <alignment horizontal="center" vertical="center" wrapText="1"/>
    </xf>
    <xf numFmtId="0" fontId="15" fillId="2" borderId="0" xfId="0" applyFont="1" applyFill="1" applyAlignment="1">
      <alignment horizontal="center" vertical="center" wrapText="1"/>
    </xf>
    <xf numFmtId="0" fontId="16" fillId="13" borderId="2" xfId="0" applyFont="1" applyFill="1" applyBorder="1" applyAlignment="1">
      <alignment horizontal="center" vertical="center" wrapText="1"/>
    </xf>
    <xf numFmtId="0" fontId="16" fillId="14" borderId="2" xfId="0" applyFont="1" applyFill="1" applyBorder="1" applyAlignment="1">
      <alignment horizontal="center" vertical="center" wrapText="1"/>
    </xf>
    <xf numFmtId="0" fontId="16" fillId="12" borderId="2" xfId="0" applyFont="1" applyFill="1" applyBorder="1" applyAlignment="1">
      <alignment horizontal="center" vertical="center" wrapText="1"/>
    </xf>
    <xf numFmtId="0" fontId="16" fillId="15" borderId="2" xfId="0" applyFont="1" applyFill="1" applyBorder="1" applyAlignment="1">
      <alignment horizontal="center" vertical="center" wrapText="1"/>
    </xf>
    <xf numFmtId="0" fontId="22" fillId="11" borderId="1" xfId="0" applyFont="1" applyFill="1" applyBorder="1" applyAlignment="1">
      <alignment horizontal="left" vertical="center" wrapText="1"/>
    </xf>
    <xf numFmtId="0" fontId="22" fillId="9" borderId="1" xfId="0" applyFont="1" applyFill="1" applyBorder="1" applyAlignment="1">
      <alignment horizontal="left" vertical="center" wrapText="1"/>
    </xf>
    <xf numFmtId="0" fontId="16" fillId="12" borderId="1" xfId="0" applyFont="1" applyFill="1" applyBorder="1" applyAlignment="1">
      <alignment horizontal="center" vertical="center" wrapText="1"/>
    </xf>
    <xf numFmtId="0" fontId="23" fillId="9" borderId="0" xfId="0" applyFont="1" applyFill="1" applyAlignment="1">
      <alignment horizontal="center" vertical="center" wrapText="1"/>
    </xf>
    <xf numFmtId="0" fontId="24" fillId="5" borderId="1" xfId="0" applyFont="1" applyFill="1" applyBorder="1" applyAlignment="1">
      <alignment horizontal="center" vertical="center" wrapText="1"/>
    </xf>
    <xf numFmtId="0" fontId="16" fillId="8" borderId="0" xfId="0" applyFont="1" applyFill="1" applyAlignment="1">
      <alignment horizontal="center" vertical="center" wrapText="1"/>
    </xf>
    <xf numFmtId="0" fontId="26" fillId="9" borderId="2" xfId="0" applyFont="1" applyFill="1" applyBorder="1" applyAlignment="1">
      <alignment horizontal="left" vertical="center" wrapText="1"/>
    </xf>
    <xf numFmtId="0" fontId="37" fillId="2" borderId="0" xfId="0" applyFont="1" applyFill="1" applyAlignment="1">
      <alignment horizontal="center" vertical="center" wrapText="1"/>
    </xf>
    <xf numFmtId="0" fontId="38" fillId="3" borderId="0" xfId="0" applyFont="1" applyFill="1" applyAlignment="1">
      <alignment horizontal="left" vertical="center" wrapText="1"/>
    </xf>
    <xf numFmtId="0" fontId="16" fillId="10" borderId="1" xfId="0" applyFont="1" applyFill="1" applyBorder="1" applyAlignment="1">
      <alignment horizontal="center" vertical="center" wrapText="1"/>
    </xf>
    <xf numFmtId="0" fontId="16" fillId="12" borderId="0" xfId="0" applyFont="1" applyFill="1" applyAlignment="1">
      <alignment horizontal="left" vertical="center" wrapText="1"/>
    </xf>
    <xf numFmtId="0" fontId="16" fillId="8" borderId="2" xfId="0" applyFont="1" applyFill="1" applyBorder="1" applyAlignment="1">
      <alignment horizontal="center" vertical="center" wrapText="1"/>
    </xf>
    <xf numFmtId="0" fontId="20" fillId="11" borderId="1" xfId="0" applyFont="1" applyFill="1" applyBorder="1" applyAlignment="1">
      <alignment horizontal="left" vertical="center" wrapText="1"/>
    </xf>
    <xf numFmtId="0" fontId="44" fillId="11" borderId="1" xfId="0" applyFont="1" applyFill="1" applyBorder="1" applyAlignment="1">
      <alignment horizontal="left" vertical="center" wrapText="1"/>
    </xf>
    <xf numFmtId="0" fontId="20" fillId="9" borderId="1" xfId="0" applyFont="1" applyFill="1" applyBorder="1" applyAlignment="1">
      <alignment horizontal="left" vertical="center" wrapText="1"/>
    </xf>
    <xf numFmtId="0" fontId="44" fillId="9" borderId="1" xfId="0" applyFont="1" applyFill="1" applyBorder="1" applyAlignment="1">
      <alignment horizontal="left" vertical="center" wrapText="1"/>
    </xf>
    <xf numFmtId="0" fontId="47" fillId="9" borderId="0" xfId="0" applyFont="1" applyFill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375623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2CC"/>
      <rgbColor rgb="FFE1F5EE"/>
      <rgbColor rgb="FF660066"/>
      <rgbColor rgb="FFFF8080"/>
      <rgbColor rgb="FF0066CC"/>
      <rgbColor rgb="FFBDD7EE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DEEAF1"/>
      <rgbColor rgb="FFE2EFDA"/>
      <rgbColor rgb="FFFCE4D6"/>
      <rgbColor rgb="FFAABBCC"/>
      <rgbColor rgb="FFF2F2F2"/>
      <rgbColor rgb="FFD9D9D9"/>
      <rgbColor rgb="FFFFCCCC"/>
      <rgbColor rgb="FF2E75B6"/>
      <rgbColor rgb="FF33CCCC"/>
      <rgbColor rgb="FF99CC00"/>
      <rgbColor rgb="FFFFCC00"/>
      <rgbColor rgb="FFFF9900"/>
      <rgbColor rgb="FFD85A30"/>
      <rgbColor rgb="FF595959"/>
      <rgbColor rgb="FFAAAAAA"/>
      <rgbColor rgb="FF003366"/>
      <rgbColor rgb="FF1D9E75"/>
      <rgbColor rgb="FF0B1520"/>
      <rgbColor rgb="FF444444"/>
      <rgbColor rgb="FF7F5009"/>
      <rgbColor rgb="FF993366"/>
      <rgbColor rgb="FF1F4E7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8"/>
  <sheetViews>
    <sheetView showGridLines="0" zoomScaleNormal="100" workbookViewId="0">
      <selection sqref="A1:L1"/>
    </sheetView>
  </sheetViews>
  <sheetFormatPr defaultColWidth="8.7109375" defaultRowHeight="15" x14ac:dyDescent="0.25"/>
  <cols>
    <col min="1" max="1" width="4" customWidth="1"/>
    <col min="2" max="2" width="12" customWidth="1"/>
    <col min="3" max="12" width="10" customWidth="1"/>
  </cols>
  <sheetData>
    <row r="1" spans="1:12" ht="31.5" customHeight="1" x14ac:dyDescent="0.25">
      <c r="A1" s="14" t="s">
        <v>0</v>
      </c>
      <c r="B1" s="14"/>
      <c r="C1" s="14"/>
      <c r="D1" s="14"/>
      <c r="E1" s="14"/>
      <c r="F1" s="14"/>
      <c r="G1" s="14"/>
      <c r="H1" s="14"/>
      <c r="I1" s="14"/>
      <c r="J1" s="14"/>
      <c r="K1" s="14"/>
      <c r="L1" s="14"/>
    </row>
    <row r="2" spans="1:12" ht="18" customHeight="1" x14ac:dyDescent="0.25">
      <c r="A2" s="13" t="s">
        <v>1</v>
      </c>
      <c r="B2" s="13"/>
      <c r="C2" s="13"/>
      <c r="D2" s="13"/>
      <c r="E2" s="13"/>
      <c r="F2" s="13"/>
      <c r="G2" s="13"/>
      <c r="H2" s="13"/>
      <c r="I2" s="13"/>
      <c r="J2" s="13"/>
      <c r="K2" s="13"/>
      <c r="L2" s="13"/>
    </row>
    <row r="3" spans="1:12" ht="13.5" customHeight="1" x14ac:dyDescent="0.25"/>
    <row r="4" spans="1:12" ht="42" customHeight="1" x14ac:dyDescent="0.25">
      <c r="A4" s="12" t="s">
        <v>2</v>
      </c>
      <c r="B4" s="12"/>
      <c r="C4" s="11" t="s">
        <v>3</v>
      </c>
      <c r="D4" s="11"/>
      <c r="E4" s="10" t="s">
        <v>4</v>
      </c>
      <c r="F4" s="10"/>
      <c r="G4" s="10" t="s">
        <v>5</v>
      </c>
      <c r="H4" s="10"/>
      <c r="I4" s="9" t="s">
        <v>6</v>
      </c>
      <c r="J4" s="9"/>
      <c r="K4" s="8" t="s">
        <v>7</v>
      </c>
      <c r="L4" s="8"/>
    </row>
    <row r="5" spans="1:12" ht="21.75" customHeight="1" x14ac:dyDescent="0.25">
      <c r="A5" s="7" t="s">
        <v>8</v>
      </c>
      <c r="B5" s="7"/>
      <c r="C5" s="6" t="s">
        <v>9</v>
      </c>
      <c r="D5" s="6"/>
      <c r="E5" s="5" t="s">
        <v>10</v>
      </c>
      <c r="F5" s="5"/>
      <c r="G5" s="5" t="s">
        <v>11</v>
      </c>
      <c r="H5" s="5"/>
      <c r="I5" s="4" t="s">
        <v>12</v>
      </c>
      <c r="J5" s="4"/>
      <c r="K5" s="3" t="s">
        <v>13</v>
      </c>
      <c r="L5" s="3"/>
    </row>
    <row r="7" spans="1:12" ht="19.5" customHeight="1" x14ac:dyDescent="0.25">
      <c r="A7" s="2" t="s">
        <v>14</v>
      </c>
      <c r="B7" s="2"/>
      <c r="C7" s="2"/>
      <c r="D7" s="2"/>
      <c r="E7" s="2"/>
      <c r="F7" s="2"/>
      <c r="G7" s="2"/>
      <c r="H7" s="2"/>
      <c r="I7" s="2"/>
      <c r="J7" s="2"/>
      <c r="K7" s="2"/>
      <c r="L7" s="2"/>
    </row>
    <row r="8" spans="1:12" ht="25.5" customHeight="1" x14ac:dyDescent="0.25">
      <c r="A8" s="1" t="s">
        <v>15</v>
      </c>
      <c r="B8" s="1"/>
      <c r="C8" s="1"/>
      <c r="D8" s="105" t="s">
        <v>16</v>
      </c>
      <c r="E8" s="105"/>
      <c r="F8" s="105"/>
      <c r="G8" s="105"/>
      <c r="H8" s="105"/>
      <c r="I8" s="105"/>
      <c r="J8" s="105"/>
      <c r="K8" s="105"/>
      <c r="L8" s="105"/>
    </row>
    <row r="9" spans="1:12" ht="25.5" customHeight="1" x14ac:dyDescent="0.25">
      <c r="A9" s="106" t="s">
        <v>17</v>
      </c>
      <c r="B9" s="106"/>
      <c r="C9" s="106"/>
      <c r="D9" s="107" t="s">
        <v>18</v>
      </c>
      <c r="E9" s="107"/>
      <c r="F9" s="107"/>
      <c r="G9" s="107"/>
      <c r="H9" s="107"/>
      <c r="I9" s="107"/>
      <c r="J9" s="107"/>
      <c r="K9" s="107"/>
      <c r="L9" s="107"/>
    </row>
    <row r="10" spans="1:12" ht="25.5" customHeight="1" x14ac:dyDescent="0.25">
      <c r="A10" s="108" t="s">
        <v>19</v>
      </c>
      <c r="B10" s="108"/>
      <c r="C10" s="108"/>
      <c r="D10" s="109" t="s">
        <v>20</v>
      </c>
      <c r="E10" s="109"/>
      <c r="F10" s="109"/>
      <c r="G10" s="109"/>
      <c r="H10" s="109"/>
      <c r="I10" s="109"/>
      <c r="J10" s="109"/>
      <c r="K10" s="109"/>
      <c r="L10" s="109"/>
    </row>
    <row r="11" spans="1:12" ht="25.5" customHeight="1" x14ac:dyDescent="0.25">
      <c r="A11" s="110" t="s">
        <v>21</v>
      </c>
      <c r="B11" s="110"/>
      <c r="C11" s="110"/>
      <c r="D11" s="111" t="s">
        <v>22</v>
      </c>
      <c r="E11" s="111"/>
      <c r="F11" s="111"/>
      <c r="G11" s="111"/>
      <c r="H11" s="111"/>
      <c r="I11" s="111"/>
      <c r="J11" s="111"/>
      <c r="K11" s="111"/>
      <c r="L11" s="111"/>
    </row>
    <row r="13" spans="1:12" ht="19.5" customHeight="1" x14ac:dyDescent="0.25">
      <c r="A13" s="112" t="s">
        <v>23</v>
      </c>
      <c r="B13" s="112"/>
      <c r="C13" s="112"/>
      <c r="D13" s="112"/>
      <c r="E13" s="112"/>
      <c r="F13" s="112"/>
      <c r="G13" s="112"/>
      <c r="H13" s="112"/>
      <c r="I13" s="112"/>
      <c r="J13" s="112"/>
      <c r="K13" s="112"/>
      <c r="L13" s="112"/>
    </row>
    <row r="14" spans="1:12" ht="30" customHeight="1" x14ac:dyDescent="0.25">
      <c r="A14" s="15" t="s">
        <v>24</v>
      </c>
      <c r="B14" s="113" t="s">
        <v>25</v>
      </c>
      <c r="C14" s="113"/>
      <c r="D14" s="113"/>
      <c r="E14" s="114" t="s">
        <v>26</v>
      </c>
      <c r="F14" s="114"/>
      <c r="G14" s="114"/>
      <c r="H14" s="114"/>
      <c r="I14" s="114"/>
      <c r="J14" s="114"/>
      <c r="K14" s="114"/>
      <c r="L14" s="114"/>
    </row>
    <row r="15" spans="1:12" ht="30" customHeight="1" x14ac:dyDescent="0.25">
      <c r="A15" s="15" t="s">
        <v>27</v>
      </c>
      <c r="B15" s="113" t="s">
        <v>28</v>
      </c>
      <c r="C15" s="113"/>
      <c r="D15" s="113"/>
      <c r="E15" s="114" t="s">
        <v>29</v>
      </c>
      <c r="F15" s="114"/>
      <c r="G15" s="114"/>
      <c r="H15" s="114"/>
      <c r="I15" s="114"/>
      <c r="J15" s="114"/>
      <c r="K15" s="114"/>
      <c r="L15" s="114"/>
    </row>
    <row r="16" spans="1:12" ht="30" customHeight="1" x14ac:dyDescent="0.25">
      <c r="A16" s="15" t="s">
        <v>30</v>
      </c>
      <c r="B16" s="113" t="s">
        <v>31</v>
      </c>
      <c r="C16" s="113"/>
      <c r="D16" s="113"/>
      <c r="E16" s="114" t="s">
        <v>32</v>
      </c>
      <c r="F16" s="114"/>
      <c r="G16" s="114"/>
      <c r="H16" s="114"/>
      <c r="I16" s="114"/>
      <c r="J16" s="114"/>
      <c r="K16" s="114"/>
      <c r="L16" s="114"/>
    </row>
    <row r="17" spans="1:12" ht="30" customHeight="1" x14ac:dyDescent="0.25">
      <c r="A17" s="15" t="s">
        <v>33</v>
      </c>
      <c r="B17" s="113" t="s">
        <v>34</v>
      </c>
      <c r="C17" s="113"/>
      <c r="D17" s="113"/>
      <c r="E17" s="114" t="s">
        <v>35</v>
      </c>
      <c r="F17" s="114"/>
      <c r="G17" s="114"/>
      <c r="H17" s="114"/>
      <c r="I17" s="114"/>
      <c r="J17" s="114"/>
      <c r="K17" s="114"/>
      <c r="L17" s="114"/>
    </row>
    <row r="18" spans="1:12" ht="30" customHeight="1" x14ac:dyDescent="0.25">
      <c r="A18" s="15" t="s">
        <v>36</v>
      </c>
      <c r="B18" s="113" t="s">
        <v>37</v>
      </c>
      <c r="C18" s="113"/>
      <c r="D18" s="113"/>
      <c r="E18" s="114" t="s">
        <v>38</v>
      </c>
      <c r="F18" s="114"/>
      <c r="G18" s="114"/>
      <c r="H18" s="114"/>
      <c r="I18" s="114"/>
      <c r="J18" s="114"/>
      <c r="K18" s="114"/>
      <c r="L18" s="114"/>
    </row>
  </sheetData>
  <mergeCells count="34">
    <mergeCell ref="B17:D17"/>
    <mergeCell ref="E17:L17"/>
    <mergeCell ref="B18:D18"/>
    <mergeCell ref="E18:L18"/>
    <mergeCell ref="B14:D14"/>
    <mergeCell ref="E14:L14"/>
    <mergeCell ref="B15:D15"/>
    <mergeCell ref="E15:L15"/>
    <mergeCell ref="B16:D16"/>
    <mergeCell ref="E16:L16"/>
    <mergeCell ref="A10:C10"/>
    <mergeCell ref="D10:L10"/>
    <mergeCell ref="A11:C11"/>
    <mergeCell ref="D11:L11"/>
    <mergeCell ref="A13:L13"/>
    <mergeCell ref="K5:L5"/>
    <mergeCell ref="A7:L7"/>
    <mergeCell ref="A8:C8"/>
    <mergeCell ref="D8:L8"/>
    <mergeCell ref="A9:C9"/>
    <mergeCell ref="D9:L9"/>
    <mergeCell ref="A5:B5"/>
    <mergeCell ref="C5:D5"/>
    <mergeCell ref="E5:F5"/>
    <mergeCell ref="G5:H5"/>
    <mergeCell ref="I5:J5"/>
    <mergeCell ref="A1:L1"/>
    <mergeCell ref="A2:L2"/>
    <mergeCell ref="A4:B4"/>
    <mergeCell ref="C4:D4"/>
    <mergeCell ref="E4:F4"/>
    <mergeCell ref="G4:H4"/>
    <mergeCell ref="I4:J4"/>
    <mergeCell ref="K4:L4"/>
  </mergeCells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P20"/>
  <sheetViews>
    <sheetView showGridLines="0" tabSelected="1" topLeftCell="A2" zoomScaleNormal="100" workbookViewId="0">
      <selection activeCell="O16" sqref="O16:P16"/>
    </sheetView>
  </sheetViews>
  <sheetFormatPr defaultColWidth="8.7109375" defaultRowHeight="15" x14ac:dyDescent="0.25"/>
  <cols>
    <col min="1" max="1" width="16" customWidth="1"/>
    <col min="2" max="2" width="8" customWidth="1"/>
    <col min="3" max="3" width="9" customWidth="1"/>
    <col min="4" max="4" width="7" customWidth="1"/>
    <col min="5" max="5" width="10" customWidth="1"/>
    <col min="6" max="7" width="9" customWidth="1"/>
    <col min="8" max="8" width="7" customWidth="1"/>
    <col min="9" max="9" width="10" customWidth="1"/>
    <col min="10" max="11" width="9" customWidth="1"/>
    <col min="12" max="12" width="7" customWidth="1"/>
    <col min="13" max="13" width="10" customWidth="1"/>
    <col min="14" max="14" width="9" customWidth="1"/>
    <col min="15" max="15" width="38" customWidth="1"/>
    <col min="16" max="16" width="12" customWidth="1"/>
  </cols>
  <sheetData>
    <row r="1" spans="1:16" ht="27.75" customHeight="1" x14ac:dyDescent="0.25">
      <c r="A1" s="115" t="s">
        <v>39</v>
      </c>
      <c r="B1" s="115"/>
      <c r="C1" s="115"/>
      <c r="D1" s="115"/>
      <c r="E1" s="115"/>
      <c r="F1" s="115"/>
      <c r="G1" s="115"/>
      <c r="H1" s="115"/>
      <c r="I1" s="115"/>
      <c r="J1" s="115"/>
      <c r="K1" s="115"/>
      <c r="L1" s="115"/>
      <c r="M1" s="115"/>
      <c r="N1" s="115"/>
      <c r="O1" s="115"/>
      <c r="P1" s="115"/>
    </row>
    <row r="2" spans="1:16" ht="18" customHeight="1" x14ac:dyDescent="0.25">
      <c r="A2" s="116" t="s">
        <v>40</v>
      </c>
      <c r="B2" s="116"/>
      <c r="C2" s="116"/>
      <c r="D2" s="116"/>
      <c r="E2" s="116"/>
      <c r="F2" s="116"/>
      <c r="G2" s="116"/>
      <c r="H2" s="116"/>
      <c r="I2" s="116"/>
      <c r="J2" s="116"/>
      <c r="K2" s="116"/>
      <c r="L2" s="116"/>
      <c r="M2" s="116"/>
      <c r="N2" s="116"/>
      <c r="O2" s="116"/>
      <c r="P2" s="116"/>
    </row>
    <row r="3" spans="1:16" ht="27.75" customHeight="1" x14ac:dyDescent="0.25">
      <c r="A3" s="16" t="s">
        <v>41</v>
      </c>
      <c r="B3" s="16" t="s">
        <v>42</v>
      </c>
      <c r="C3" s="117" t="s">
        <v>43</v>
      </c>
      <c r="D3" s="117"/>
      <c r="E3" s="117"/>
      <c r="F3" s="117"/>
      <c r="G3" s="118" t="s">
        <v>44</v>
      </c>
      <c r="H3" s="118"/>
      <c r="I3" s="118"/>
      <c r="J3" s="118"/>
      <c r="K3" s="119" t="s">
        <v>45</v>
      </c>
      <c r="L3" s="119"/>
      <c r="M3" s="119"/>
      <c r="N3" s="119"/>
      <c r="O3" s="120" t="s">
        <v>46</v>
      </c>
      <c r="P3" s="120"/>
    </row>
    <row r="4" spans="1:16" ht="33.75" customHeight="1" x14ac:dyDescent="0.25">
      <c r="C4" s="17" t="s">
        <v>47</v>
      </c>
      <c r="D4" s="17" t="s">
        <v>48</v>
      </c>
      <c r="E4" s="17" t="s">
        <v>49</v>
      </c>
      <c r="F4" s="17" t="s">
        <v>50</v>
      </c>
      <c r="G4" s="18" t="s">
        <v>47</v>
      </c>
      <c r="H4" s="18" t="s">
        <v>48</v>
      </c>
      <c r="I4" s="18" t="s">
        <v>49</v>
      </c>
      <c r="J4" s="18" t="s">
        <v>50</v>
      </c>
      <c r="K4" s="19" t="s">
        <v>47</v>
      </c>
      <c r="L4" s="19" t="s">
        <v>48</v>
      </c>
      <c r="M4" s="19" t="s">
        <v>49</v>
      </c>
      <c r="N4" s="19" t="s">
        <v>50</v>
      </c>
      <c r="O4" s="120"/>
      <c r="P4" s="120"/>
    </row>
    <row r="5" spans="1:16" ht="36" customHeight="1" x14ac:dyDescent="0.25">
      <c r="A5" s="20" t="s">
        <v>51</v>
      </c>
      <c r="B5" s="21" t="s">
        <v>52</v>
      </c>
      <c r="C5" s="22">
        <v>25</v>
      </c>
      <c r="D5" s="23">
        <v>2</v>
      </c>
      <c r="E5" s="24">
        <v>3.2</v>
      </c>
      <c r="F5" s="25">
        <v>1.6</v>
      </c>
      <c r="G5" s="18">
        <v>25</v>
      </c>
      <c r="H5" s="26">
        <v>1</v>
      </c>
      <c r="I5" s="27">
        <v>1.6</v>
      </c>
      <c r="J5" s="28">
        <v>0.8</v>
      </c>
      <c r="K5" s="29" t="s">
        <v>53</v>
      </c>
      <c r="L5" s="30">
        <v>0</v>
      </c>
      <c r="M5" s="31">
        <v>0</v>
      </c>
      <c r="N5" s="32">
        <v>0</v>
      </c>
      <c r="O5" s="121" t="s">
        <v>54</v>
      </c>
      <c r="P5" s="121"/>
    </row>
    <row r="6" spans="1:16" ht="36" customHeight="1" x14ac:dyDescent="0.25">
      <c r="A6" s="20" t="s">
        <v>55</v>
      </c>
      <c r="B6" s="33" t="s">
        <v>56</v>
      </c>
      <c r="C6" s="34">
        <v>27</v>
      </c>
      <c r="D6" s="23">
        <v>2</v>
      </c>
      <c r="E6" s="24">
        <v>2.8</v>
      </c>
      <c r="F6" s="25">
        <v>2.8</v>
      </c>
      <c r="G6" s="34">
        <v>26</v>
      </c>
      <c r="H6" s="26">
        <v>1</v>
      </c>
      <c r="I6" s="27">
        <v>1.5</v>
      </c>
      <c r="J6" s="28">
        <v>1.5</v>
      </c>
      <c r="K6" s="35">
        <v>26</v>
      </c>
      <c r="L6" s="30">
        <v>1</v>
      </c>
      <c r="M6" s="31">
        <v>1.2</v>
      </c>
      <c r="N6" s="32">
        <v>1.2</v>
      </c>
      <c r="O6" s="122" t="s">
        <v>57</v>
      </c>
      <c r="P6" s="122"/>
    </row>
    <row r="7" spans="1:16" ht="36" customHeight="1" x14ac:dyDescent="0.25">
      <c r="A7" s="20" t="s">
        <v>58</v>
      </c>
      <c r="B7" s="21" t="s">
        <v>59</v>
      </c>
      <c r="C7" s="34">
        <v>26.5</v>
      </c>
      <c r="D7" s="23">
        <v>2</v>
      </c>
      <c r="E7" s="24">
        <v>3.2</v>
      </c>
      <c r="F7" s="25">
        <v>4.8</v>
      </c>
      <c r="G7" s="34">
        <v>26</v>
      </c>
      <c r="H7" s="26">
        <v>2</v>
      </c>
      <c r="I7" s="27">
        <v>2.8</v>
      </c>
      <c r="J7" s="28">
        <v>4.2</v>
      </c>
      <c r="K7" s="35">
        <v>26</v>
      </c>
      <c r="L7" s="30">
        <v>1</v>
      </c>
      <c r="M7" s="31">
        <v>1.5</v>
      </c>
      <c r="N7" s="32">
        <v>2.25</v>
      </c>
      <c r="O7" s="121" t="s">
        <v>60</v>
      </c>
      <c r="P7" s="121"/>
    </row>
    <row r="8" spans="1:16" ht="36" customHeight="1" x14ac:dyDescent="0.25">
      <c r="A8" s="20" t="s">
        <v>61</v>
      </c>
      <c r="B8" s="33" t="s">
        <v>62</v>
      </c>
      <c r="C8" s="17">
        <v>25.5</v>
      </c>
      <c r="D8" s="23">
        <v>2</v>
      </c>
      <c r="E8" s="24">
        <v>3.8</v>
      </c>
      <c r="F8" s="25">
        <v>1.9</v>
      </c>
      <c r="G8" s="18">
        <v>25.5</v>
      </c>
      <c r="H8" s="26">
        <v>2</v>
      </c>
      <c r="I8" s="27">
        <v>3.2</v>
      </c>
      <c r="J8" s="28">
        <v>1.6</v>
      </c>
      <c r="K8" s="35">
        <v>26</v>
      </c>
      <c r="L8" s="30">
        <v>2</v>
      </c>
      <c r="M8" s="31">
        <v>2.4</v>
      </c>
      <c r="N8" s="32">
        <v>1.2</v>
      </c>
      <c r="O8" s="122" t="s">
        <v>63</v>
      </c>
      <c r="P8" s="122"/>
    </row>
    <row r="9" spans="1:16" ht="36" customHeight="1" x14ac:dyDescent="0.25">
      <c r="A9" s="20" t="s">
        <v>64</v>
      </c>
      <c r="B9" s="21" t="s">
        <v>65</v>
      </c>
      <c r="C9" s="22">
        <v>25</v>
      </c>
      <c r="D9" s="23">
        <v>2</v>
      </c>
      <c r="E9" s="24">
        <v>4.0999999999999996</v>
      </c>
      <c r="F9" s="25">
        <v>8.1999999999999993</v>
      </c>
      <c r="G9" s="18">
        <v>25</v>
      </c>
      <c r="H9" s="26">
        <v>2</v>
      </c>
      <c r="I9" s="27">
        <v>3.5</v>
      </c>
      <c r="J9" s="28">
        <v>7</v>
      </c>
      <c r="K9" s="35">
        <v>25</v>
      </c>
      <c r="L9" s="30">
        <v>2</v>
      </c>
      <c r="M9" s="31">
        <v>2.8</v>
      </c>
      <c r="N9" s="32">
        <v>5.6</v>
      </c>
      <c r="O9" s="121" t="s">
        <v>66</v>
      </c>
      <c r="P9" s="121"/>
    </row>
    <row r="10" spans="1:16" ht="36" customHeight="1" x14ac:dyDescent="0.25">
      <c r="A10" s="20" t="s">
        <v>67</v>
      </c>
      <c r="B10" s="33" t="s">
        <v>68</v>
      </c>
      <c r="C10" s="22">
        <v>25</v>
      </c>
      <c r="D10" s="23">
        <v>2</v>
      </c>
      <c r="E10" s="24">
        <v>4.3</v>
      </c>
      <c r="F10" s="25">
        <v>8.6</v>
      </c>
      <c r="G10" s="18">
        <v>25</v>
      </c>
      <c r="H10" s="26">
        <v>2</v>
      </c>
      <c r="I10" s="27">
        <v>3.6</v>
      </c>
      <c r="J10" s="28">
        <v>7.2</v>
      </c>
      <c r="K10" s="35">
        <v>25</v>
      </c>
      <c r="L10" s="30">
        <v>2</v>
      </c>
      <c r="M10" s="31">
        <v>2.9</v>
      </c>
      <c r="N10" s="32">
        <v>5.8</v>
      </c>
      <c r="O10" s="122" t="s">
        <v>69</v>
      </c>
      <c r="P10" s="122"/>
    </row>
    <row r="11" spans="1:16" ht="36" customHeight="1" x14ac:dyDescent="0.25">
      <c r="A11" s="20" t="s">
        <v>70</v>
      </c>
      <c r="B11" s="21" t="s">
        <v>65</v>
      </c>
      <c r="C11" s="22">
        <v>25</v>
      </c>
      <c r="D11" s="23">
        <v>2</v>
      </c>
      <c r="E11" s="24">
        <v>4.2</v>
      </c>
      <c r="F11" s="25">
        <v>8.4</v>
      </c>
      <c r="G11" s="18">
        <v>25</v>
      </c>
      <c r="H11" s="26">
        <v>2</v>
      </c>
      <c r="I11" s="27">
        <v>3.5</v>
      </c>
      <c r="J11" s="28">
        <v>7</v>
      </c>
      <c r="K11" s="35">
        <v>25</v>
      </c>
      <c r="L11" s="30">
        <v>2</v>
      </c>
      <c r="M11" s="31">
        <v>2.8</v>
      </c>
      <c r="N11" s="32">
        <v>5.6</v>
      </c>
      <c r="O11" s="121" t="s">
        <v>71</v>
      </c>
      <c r="P11" s="121"/>
    </row>
    <row r="12" spans="1:16" ht="36" customHeight="1" x14ac:dyDescent="0.25">
      <c r="A12" s="20" t="s">
        <v>72</v>
      </c>
      <c r="B12" s="33" t="s">
        <v>73</v>
      </c>
      <c r="C12" s="17">
        <v>25.5</v>
      </c>
      <c r="D12" s="23">
        <v>2</v>
      </c>
      <c r="E12" s="24">
        <v>3.9</v>
      </c>
      <c r="F12" s="25">
        <v>3.9</v>
      </c>
      <c r="G12" s="18">
        <v>25.5</v>
      </c>
      <c r="H12" s="26">
        <v>2</v>
      </c>
      <c r="I12" s="27">
        <v>3.2</v>
      </c>
      <c r="J12" s="28">
        <v>3.2</v>
      </c>
      <c r="K12" s="35">
        <v>25.5</v>
      </c>
      <c r="L12" s="30">
        <v>2</v>
      </c>
      <c r="M12" s="31">
        <v>2.6</v>
      </c>
      <c r="N12" s="32">
        <v>2.6</v>
      </c>
      <c r="O12" s="122" t="s">
        <v>74</v>
      </c>
      <c r="P12" s="122"/>
    </row>
    <row r="13" spans="1:16" ht="36" customHeight="1" x14ac:dyDescent="0.25">
      <c r="A13" s="20" t="s">
        <v>75</v>
      </c>
      <c r="B13" s="21" t="s">
        <v>76</v>
      </c>
      <c r="C13" s="17">
        <v>26</v>
      </c>
      <c r="D13" s="23">
        <v>2</v>
      </c>
      <c r="E13" s="24">
        <v>3.4</v>
      </c>
      <c r="F13" s="25">
        <v>3.4</v>
      </c>
      <c r="G13" s="34">
        <v>26</v>
      </c>
      <c r="H13" s="26">
        <v>2</v>
      </c>
      <c r="I13" s="27">
        <v>2.9</v>
      </c>
      <c r="J13" s="28">
        <v>2.9</v>
      </c>
      <c r="K13" s="35">
        <v>26</v>
      </c>
      <c r="L13" s="30">
        <v>2</v>
      </c>
      <c r="M13" s="31">
        <v>2.2000000000000002</v>
      </c>
      <c r="N13" s="32">
        <v>2.2000000000000002</v>
      </c>
      <c r="O13" s="121" t="s">
        <v>77</v>
      </c>
      <c r="P13" s="121"/>
    </row>
    <row r="14" spans="1:16" ht="36" customHeight="1" x14ac:dyDescent="0.25">
      <c r="A14" s="20" t="s">
        <v>78</v>
      </c>
      <c r="B14" s="33" t="s">
        <v>79</v>
      </c>
      <c r="C14" s="17">
        <v>26</v>
      </c>
      <c r="D14" s="23">
        <v>2</v>
      </c>
      <c r="E14" s="24">
        <v>3.2</v>
      </c>
      <c r="F14" s="25">
        <v>6.4</v>
      </c>
      <c r="G14" s="34">
        <v>26</v>
      </c>
      <c r="H14" s="26">
        <v>2</v>
      </c>
      <c r="I14" s="27">
        <v>2.7</v>
      </c>
      <c r="J14" s="28">
        <v>5.4</v>
      </c>
      <c r="K14" s="35">
        <v>26</v>
      </c>
      <c r="L14" s="30">
        <v>1</v>
      </c>
      <c r="M14" s="31">
        <v>1.6</v>
      </c>
      <c r="N14" s="32">
        <v>3.2</v>
      </c>
      <c r="O14" s="122" t="s">
        <v>80</v>
      </c>
      <c r="P14" s="122"/>
    </row>
    <row r="15" spans="1:16" ht="36" customHeight="1" x14ac:dyDescent="0.25">
      <c r="A15" s="20" t="s">
        <v>81</v>
      </c>
      <c r="B15" s="21" t="s">
        <v>82</v>
      </c>
      <c r="C15" s="34">
        <v>26.5</v>
      </c>
      <c r="D15" s="23">
        <v>2</v>
      </c>
      <c r="E15" s="24">
        <v>3</v>
      </c>
      <c r="F15" s="25">
        <v>3</v>
      </c>
      <c r="G15" s="34">
        <v>26.5</v>
      </c>
      <c r="H15" s="26">
        <v>2</v>
      </c>
      <c r="I15" s="27">
        <v>2.5</v>
      </c>
      <c r="J15" s="28">
        <v>2.5</v>
      </c>
      <c r="K15" s="35">
        <v>26.5</v>
      </c>
      <c r="L15" s="30">
        <v>1</v>
      </c>
      <c r="M15" s="31">
        <v>1.4</v>
      </c>
      <c r="N15" s="32">
        <v>1.4</v>
      </c>
      <c r="O15" s="121" t="s">
        <v>83</v>
      </c>
      <c r="P15" s="121"/>
    </row>
    <row r="16" spans="1:16" ht="36" customHeight="1" x14ac:dyDescent="0.25">
      <c r="A16" s="20" t="s">
        <v>84</v>
      </c>
      <c r="B16" s="33" t="s">
        <v>85</v>
      </c>
      <c r="C16" s="34">
        <v>27</v>
      </c>
      <c r="D16" s="23">
        <v>1</v>
      </c>
      <c r="E16" s="24">
        <v>1.6</v>
      </c>
      <c r="F16" s="25">
        <v>1.6</v>
      </c>
      <c r="G16" s="34">
        <v>27</v>
      </c>
      <c r="H16" s="26">
        <v>1</v>
      </c>
      <c r="I16" s="27">
        <v>1.3</v>
      </c>
      <c r="J16" s="28">
        <v>1.3</v>
      </c>
      <c r="K16" s="35">
        <v>27</v>
      </c>
      <c r="L16" s="30">
        <v>1</v>
      </c>
      <c r="M16" s="31">
        <v>1</v>
      </c>
      <c r="N16" s="32">
        <v>1</v>
      </c>
      <c r="O16" s="122" t="s">
        <v>86</v>
      </c>
      <c r="P16" s="122"/>
    </row>
    <row r="17" spans="1:16" ht="36" customHeight="1" x14ac:dyDescent="0.25">
      <c r="A17" s="20" t="s">
        <v>87</v>
      </c>
      <c r="B17" s="21" t="s">
        <v>88</v>
      </c>
      <c r="C17" s="34">
        <v>27</v>
      </c>
      <c r="D17" s="23">
        <v>1</v>
      </c>
      <c r="E17" s="24">
        <v>1.5</v>
      </c>
      <c r="F17" s="25">
        <v>0.75</v>
      </c>
      <c r="G17" s="34">
        <v>27</v>
      </c>
      <c r="H17" s="26">
        <v>1</v>
      </c>
      <c r="I17" s="27">
        <v>1.2</v>
      </c>
      <c r="J17" s="28">
        <v>0.6</v>
      </c>
      <c r="K17" s="29" t="s">
        <v>53</v>
      </c>
      <c r="L17" s="30">
        <v>0</v>
      </c>
      <c r="M17" s="31">
        <v>0</v>
      </c>
      <c r="N17" s="32">
        <v>0</v>
      </c>
      <c r="O17" s="121" t="s">
        <v>89</v>
      </c>
      <c r="P17" s="121"/>
    </row>
    <row r="18" spans="1:16" ht="24" customHeight="1" x14ac:dyDescent="0.25">
      <c r="A18" s="123" t="s">
        <v>90</v>
      </c>
      <c r="B18" s="123"/>
      <c r="F18" s="36">
        <f>SUM(F5:F17)</f>
        <v>55.349999999999994</v>
      </c>
      <c r="J18" s="36">
        <f>SUM(J5:J17)</f>
        <v>45.199999999999996</v>
      </c>
      <c r="N18" s="36">
        <f>SUM(N5:N17)</f>
        <v>32.049999999999997</v>
      </c>
    </row>
    <row r="19" spans="1:16" ht="21.75" customHeight="1" x14ac:dyDescent="0.25">
      <c r="A19" s="124" t="s">
        <v>91</v>
      </c>
      <c r="B19" s="124"/>
      <c r="F19" s="37">
        <v>16.5</v>
      </c>
      <c r="J19" s="37">
        <v>13.2</v>
      </c>
      <c r="N19" s="37">
        <v>9.8000000000000007</v>
      </c>
    </row>
    <row r="20" spans="1:16" ht="21.75" customHeight="1" x14ac:dyDescent="0.25">
      <c r="A20" s="125" t="s">
        <v>92</v>
      </c>
      <c r="B20" s="125"/>
      <c r="F20" s="38">
        <f>F19-F18</f>
        <v>-38.849999999999994</v>
      </c>
      <c r="J20" s="38">
        <f>J19-J18</f>
        <v>-31.999999999999996</v>
      </c>
      <c r="N20" s="38">
        <f>N19-N18</f>
        <v>-22.249999999999996</v>
      </c>
    </row>
  </sheetData>
  <mergeCells count="22">
    <mergeCell ref="A20:B20"/>
    <mergeCell ref="O15:P15"/>
    <mergeCell ref="O16:P16"/>
    <mergeCell ref="O17:P17"/>
    <mergeCell ref="A18:B18"/>
    <mergeCell ref="A19:B19"/>
    <mergeCell ref="O10:P10"/>
    <mergeCell ref="O11:P11"/>
    <mergeCell ref="O12:P12"/>
    <mergeCell ref="O13:P13"/>
    <mergeCell ref="O14:P14"/>
    <mergeCell ref="O5:P5"/>
    <mergeCell ref="O6:P6"/>
    <mergeCell ref="O7:P7"/>
    <mergeCell ref="O8:P8"/>
    <mergeCell ref="O9:P9"/>
    <mergeCell ref="A1:P1"/>
    <mergeCell ref="A2:P2"/>
    <mergeCell ref="C3:F3"/>
    <mergeCell ref="G3:J3"/>
    <mergeCell ref="K3:N3"/>
    <mergeCell ref="O3:P4"/>
  </mergeCells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K20"/>
  <sheetViews>
    <sheetView showGridLines="0" zoomScaleNormal="100" workbookViewId="0"/>
  </sheetViews>
  <sheetFormatPr defaultColWidth="8.7109375" defaultRowHeight="15" x14ac:dyDescent="0.25"/>
  <cols>
    <col min="1" max="1" width="22" customWidth="1"/>
    <col min="2" max="2" width="10" customWidth="1"/>
    <col min="3" max="4" width="16" customWidth="1"/>
    <col min="5" max="5" width="18" customWidth="1"/>
    <col min="6" max="6" width="16" customWidth="1"/>
    <col min="7" max="7" width="18" customWidth="1"/>
    <col min="8" max="8" width="16" customWidth="1"/>
    <col min="9" max="10" width="12" customWidth="1"/>
    <col min="11" max="11" width="10" customWidth="1"/>
  </cols>
  <sheetData>
    <row r="1" spans="1:11" ht="27.75" customHeight="1" x14ac:dyDescent="0.25">
      <c r="A1" s="115" t="s">
        <v>93</v>
      </c>
      <c r="B1" s="115"/>
      <c r="C1" s="115"/>
      <c r="D1" s="115"/>
      <c r="E1" s="115"/>
      <c r="F1" s="115"/>
      <c r="G1" s="115"/>
      <c r="H1" s="115"/>
      <c r="I1" s="115"/>
      <c r="J1" s="115"/>
      <c r="K1" s="115"/>
    </row>
    <row r="3" spans="1:11" ht="21.75" customHeight="1" x14ac:dyDescent="0.25">
      <c r="A3" s="126" t="s">
        <v>94</v>
      </c>
      <c r="B3" s="126"/>
      <c r="C3" s="126"/>
      <c r="D3" s="126"/>
      <c r="E3" s="126"/>
    </row>
    <row r="4" spans="1:11" ht="21.75" customHeight="1" x14ac:dyDescent="0.25">
      <c r="A4" s="127" t="s">
        <v>95</v>
      </c>
      <c r="B4" s="127"/>
      <c r="C4" s="127"/>
      <c r="D4" s="39">
        <v>3421</v>
      </c>
      <c r="E4" s="40" t="s">
        <v>96</v>
      </c>
    </row>
    <row r="5" spans="1:11" ht="21.75" customHeight="1" x14ac:dyDescent="0.25">
      <c r="A5" s="127" t="s">
        <v>97</v>
      </c>
      <c r="B5" s="127"/>
      <c r="C5" s="127"/>
      <c r="D5" s="39">
        <v>26</v>
      </c>
      <c r="E5" s="40" t="s">
        <v>98</v>
      </c>
    </row>
    <row r="6" spans="1:11" ht="21.75" customHeight="1" x14ac:dyDescent="0.25">
      <c r="A6" s="127" t="s">
        <v>99</v>
      </c>
      <c r="B6" s="127"/>
      <c r="C6" s="127"/>
      <c r="D6" s="41">
        <v>7.03</v>
      </c>
      <c r="E6" s="40" t="s">
        <v>100</v>
      </c>
    </row>
    <row r="7" spans="1:11" ht="21.75" customHeight="1" x14ac:dyDescent="0.25">
      <c r="A7" s="127" t="s">
        <v>101</v>
      </c>
      <c r="B7" s="127"/>
      <c r="C7" s="127"/>
      <c r="D7" s="41">
        <v>3.43</v>
      </c>
      <c r="E7" s="40" t="s">
        <v>102</v>
      </c>
    </row>
    <row r="8" spans="1:11" ht="21.75" customHeight="1" x14ac:dyDescent="0.25">
      <c r="A8" s="127" t="s">
        <v>103</v>
      </c>
      <c r="B8" s="127"/>
      <c r="C8" s="127"/>
      <c r="D8" s="42">
        <v>4.5</v>
      </c>
      <c r="E8" s="40" t="s">
        <v>104</v>
      </c>
    </row>
    <row r="9" spans="1:11" ht="21.75" customHeight="1" x14ac:dyDescent="0.25">
      <c r="A9" s="127" t="s">
        <v>105</v>
      </c>
      <c r="B9" s="127"/>
      <c r="C9" s="127"/>
      <c r="D9" s="41">
        <v>16.5</v>
      </c>
      <c r="E9" s="40" t="s">
        <v>104</v>
      </c>
    </row>
    <row r="10" spans="1:11" ht="21.75" customHeight="1" x14ac:dyDescent="0.25">
      <c r="A10" s="127" t="s">
        <v>106</v>
      </c>
      <c r="B10" s="127"/>
      <c r="C10" s="127"/>
      <c r="D10" s="41">
        <v>13.2</v>
      </c>
      <c r="E10" s="40" t="s">
        <v>104</v>
      </c>
    </row>
    <row r="11" spans="1:11" ht="21.75" customHeight="1" x14ac:dyDescent="0.25">
      <c r="A11" s="127" t="s">
        <v>107</v>
      </c>
      <c r="B11" s="127"/>
      <c r="C11" s="127"/>
      <c r="D11" s="41">
        <v>9.8000000000000007</v>
      </c>
      <c r="E11" s="40" t="s">
        <v>104</v>
      </c>
    </row>
    <row r="12" spans="1:11" ht="21.75" customHeight="1" x14ac:dyDescent="0.25">
      <c r="A12" s="127" t="s">
        <v>108</v>
      </c>
      <c r="B12" s="127"/>
      <c r="C12" s="127"/>
      <c r="D12" s="34">
        <v>3</v>
      </c>
      <c r="E12" s="40" t="s">
        <v>109</v>
      </c>
    </row>
    <row r="13" spans="1:11" ht="21.75" customHeight="1" x14ac:dyDescent="0.25">
      <c r="A13" s="127" t="s">
        <v>110</v>
      </c>
      <c r="B13" s="127"/>
      <c r="C13" s="127"/>
      <c r="D13" s="34">
        <v>5</v>
      </c>
      <c r="E13" s="40" t="s">
        <v>109</v>
      </c>
    </row>
    <row r="14" spans="1:11" ht="21.75" customHeight="1" x14ac:dyDescent="0.25">
      <c r="A14" s="127" t="s">
        <v>111</v>
      </c>
      <c r="B14" s="127"/>
      <c r="C14" s="127"/>
      <c r="D14" s="34">
        <v>4</v>
      </c>
      <c r="E14" s="40" t="s">
        <v>109</v>
      </c>
    </row>
    <row r="16" spans="1:11" ht="21.75" customHeight="1" x14ac:dyDescent="0.25">
      <c r="A16" s="126" t="s">
        <v>112</v>
      </c>
      <c r="B16" s="126"/>
      <c r="C16" s="126"/>
      <c r="D16" s="126"/>
      <c r="E16" s="126"/>
      <c r="F16" s="126"/>
      <c r="G16" s="126"/>
      <c r="H16" s="126"/>
      <c r="I16" s="126"/>
      <c r="J16" s="126"/>
      <c r="K16" s="126"/>
    </row>
    <row r="17" spans="1:11" ht="37.5" customHeight="1" x14ac:dyDescent="0.25">
      <c r="A17" s="16" t="s">
        <v>113</v>
      </c>
      <c r="B17" s="16" t="s">
        <v>114</v>
      </c>
      <c r="C17" s="16" t="s">
        <v>115</v>
      </c>
      <c r="D17" s="16" t="s">
        <v>116</v>
      </c>
      <c r="E17" s="16" t="s">
        <v>117</v>
      </c>
      <c r="F17" s="16" t="s">
        <v>118</v>
      </c>
      <c r="G17" s="16" t="s">
        <v>119</v>
      </c>
      <c r="H17" s="16" t="s">
        <v>120</v>
      </c>
      <c r="I17" s="16" t="s">
        <v>121</v>
      </c>
      <c r="J17" s="16" t="s">
        <v>122</v>
      </c>
      <c r="K17" s="16" t="s">
        <v>123</v>
      </c>
    </row>
    <row r="18" spans="1:11" ht="36" customHeight="1" x14ac:dyDescent="0.25">
      <c r="A18" s="43" t="s">
        <v>124</v>
      </c>
      <c r="B18" s="44">
        <v>0.08</v>
      </c>
      <c r="C18" s="45">
        <f>D9*B18</f>
        <v>1.32</v>
      </c>
      <c r="D18" s="46">
        <f>C18*D5</f>
        <v>34.32</v>
      </c>
      <c r="E18" s="47">
        <f>D18*D4</f>
        <v>117408.72</v>
      </c>
      <c r="F18" s="48">
        <f>C18*D5*D12+D9*0.9*B18*D5*D13+D9*0.7*B18*D5*D14</f>
        <v>353.49599999999998</v>
      </c>
      <c r="G18" s="49">
        <f>F18*D4</f>
        <v>1209309.8159999999</v>
      </c>
      <c r="H18" s="50">
        <v>12000000</v>
      </c>
      <c r="I18" s="51">
        <f>IF(G18&gt;0,H18/(G18/12),"-")</f>
        <v>119.07618551902999</v>
      </c>
      <c r="J18" s="52">
        <f>IF(H18&gt;0,(G18-H18)/H18,"-")</f>
        <v>-0.89922418199999998</v>
      </c>
      <c r="K18" s="53" t="s">
        <v>68</v>
      </c>
    </row>
    <row r="19" spans="1:11" ht="36" customHeight="1" x14ac:dyDescent="0.25">
      <c r="A19" s="54" t="s">
        <v>125</v>
      </c>
      <c r="B19" s="55">
        <v>0.12</v>
      </c>
      <c r="C19" s="56">
        <f>D9*B19</f>
        <v>1.98</v>
      </c>
      <c r="D19" s="57">
        <f>C19*D5</f>
        <v>51.48</v>
      </c>
      <c r="E19" s="58">
        <f>D19*D4</f>
        <v>176113.08</v>
      </c>
      <c r="F19" s="59">
        <f>C19*D5*D12+D9*0.9*B19*D5*D13+D9*0.7*B19*D5*D14</f>
        <v>530.24399999999991</v>
      </c>
      <c r="G19" s="60">
        <f>F19*D4</f>
        <v>1813964.7239999997</v>
      </c>
      <c r="H19" s="61">
        <v>18000000</v>
      </c>
      <c r="I19" s="62">
        <f>IF(G19&gt;0,H19/(G19/12),"-")</f>
        <v>119.07618551902999</v>
      </c>
      <c r="J19" s="63">
        <f>IF(H19&gt;0,(G19-H19)/H19,"-")</f>
        <v>-0.89922418199999998</v>
      </c>
      <c r="K19" s="64" t="s">
        <v>126</v>
      </c>
    </row>
    <row r="20" spans="1:11" ht="36" customHeight="1" x14ac:dyDescent="0.25">
      <c r="A20" s="65" t="s">
        <v>127</v>
      </c>
      <c r="B20" s="66">
        <v>0.18</v>
      </c>
      <c r="C20" s="38">
        <f>D9*B20</f>
        <v>2.9699999999999998</v>
      </c>
      <c r="D20" s="67">
        <f>C20*D5</f>
        <v>77.22</v>
      </c>
      <c r="E20" s="68">
        <f>D20*D4</f>
        <v>264169.62</v>
      </c>
      <c r="F20" s="69">
        <f>C20*D5*D12+D9*0.9*B20*D5*D13+D9*0.7*B20*D5*D14</f>
        <v>795.36599999999999</v>
      </c>
      <c r="G20" s="70">
        <f>F20*D4</f>
        <v>2720947.0860000001</v>
      </c>
      <c r="H20" s="71">
        <v>30000000</v>
      </c>
      <c r="I20" s="72">
        <f>IF(G20&gt;0,H20/(G20/12),"-")</f>
        <v>132.30687279892217</v>
      </c>
      <c r="J20" s="73">
        <f>IF(H20&gt;0,(G20-H20)/H20,"-")</f>
        <v>-0.90930176380000005</v>
      </c>
      <c r="K20" s="74" t="s">
        <v>128</v>
      </c>
    </row>
  </sheetData>
  <mergeCells count="14">
    <mergeCell ref="A12:C12"/>
    <mergeCell ref="A13:C13"/>
    <mergeCell ref="A14:C14"/>
    <mergeCell ref="A16:K16"/>
    <mergeCell ref="A7:C7"/>
    <mergeCell ref="A8:C8"/>
    <mergeCell ref="A9:C9"/>
    <mergeCell ref="A10:C10"/>
    <mergeCell ref="A11:C11"/>
    <mergeCell ref="A1:K1"/>
    <mergeCell ref="A3:E3"/>
    <mergeCell ref="A4:C4"/>
    <mergeCell ref="A5:C5"/>
    <mergeCell ref="A6:C6"/>
  </mergeCells>
  <pageMargins left="0.75" right="0.75" top="1" bottom="1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N90"/>
  <sheetViews>
    <sheetView showGridLines="0" zoomScaleNormal="100" workbookViewId="0"/>
  </sheetViews>
  <sheetFormatPr defaultColWidth="8.7109375" defaultRowHeight="15" x14ac:dyDescent="0.25"/>
  <cols>
    <col min="1" max="1" width="10" customWidth="1"/>
    <col min="2" max="2" width="6" customWidth="1"/>
    <col min="3" max="3" width="12" customWidth="1"/>
    <col min="4" max="5" width="18" customWidth="1"/>
    <col min="6" max="8" width="14" customWidth="1"/>
    <col min="9" max="9" width="10" customWidth="1"/>
    <col min="10" max="12" width="14" customWidth="1"/>
    <col min="13" max="13" width="30" customWidth="1"/>
    <col min="14" max="14" width="14" customWidth="1"/>
  </cols>
  <sheetData>
    <row r="1" spans="1:14" ht="27.75" customHeight="1" x14ac:dyDescent="0.25">
      <c r="A1" s="128" t="s">
        <v>129</v>
      </c>
      <c r="B1" s="128"/>
      <c r="C1" s="128"/>
      <c r="D1" s="128"/>
      <c r="E1" s="128"/>
      <c r="F1" s="128"/>
      <c r="G1" s="128"/>
      <c r="H1" s="128"/>
      <c r="I1" s="128"/>
      <c r="J1" s="128"/>
      <c r="K1" s="128"/>
      <c r="L1" s="128"/>
      <c r="M1" s="128"/>
      <c r="N1" s="128"/>
    </row>
    <row r="2" spans="1:14" ht="19.5" customHeight="1" x14ac:dyDescent="0.25">
      <c r="A2" s="129" t="s">
        <v>130</v>
      </c>
      <c r="B2" s="129"/>
      <c r="C2" s="129"/>
      <c r="D2" s="129"/>
      <c r="E2" s="129"/>
      <c r="F2" s="129"/>
      <c r="G2" s="129"/>
      <c r="H2" s="129"/>
      <c r="I2" s="129"/>
      <c r="J2" s="129"/>
      <c r="K2" s="129"/>
      <c r="L2" s="129"/>
      <c r="M2" s="129"/>
      <c r="N2" s="129"/>
    </row>
    <row r="3" spans="1:14" ht="39.75" customHeight="1" x14ac:dyDescent="0.25">
      <c r="A3" s="16" t="s">
        <v>131</v>
      </c>
      <c r="B3" s="16" t="s">
        <v>132</v>
      </c>
      <c r="C3" s="16" t="s">
        <v>133</v>
      </c>
      <c r="D3" s="16" t="s">
        <v>134</v>
      </c>
      <c r="E3" s="16" t="s">
        <v>135</v>
      </c>
      <c r="F3" s="16" t="s">
        <v>136</v>
      </c>
      <c r="G3" s="16" t="s">
        <v>137</v>
      </c>
      <c r="H3" s="16" t="s">
        <v>138</v>
      </c>
      <c r="I3" s="16" t="s">
        <v>139</v>
      </c>
      <c r="J3" s="16" t="s">
        <v>140</v>
      </c>
      <c r="K3" s="16" t="s">
        <v>141</v>
      </c>
      <c r="L3" s="16" t="s">
        <v>142</v>
      </c>
      <c r="M3" s="16" t="s">
        <v>143</v>
      </c>
      <c r="N3" s="16" t="s">
        <v>144</v>
      </c>
    </row>
    <row r="4" spans="1:14" ht="18" customHeight="1" x14ac:dyDescent="0.25">
      <c r="A4" s="21" t="s">
        <v>145</v>
      </c>
      <c r="B4" s="21" t="s">
        <v>146</v>
      </c>
      <c r="C4" s="75">
        <v>32.5</v>
      </c>
      <c r="D4" s="76"/>
      <c r="E4" s="76"/>
      <c r="F4" s="77" t="str">
        <f>IF(AND(D4&lt;&gt;"",E4&lt;&gt;""),E4-D4,"")</f>
        <v/>
      </c>
      <c r="G4" s="77">
        <v>82.3</v>
      </c>
      <c r="H4" s="78" t="str">
        <f>IF(F4&lt;&gt;"",G4-F4,"")</f>
        <v/>
      </c>
      <c r="I4" s="79" t="str">
        <f>IF(AND(F4&lt;&gt;"",G4&gt;0),(G4-F4)/G4,"")</f>
        <v/>
      </c>
      <c r="J4" s="80"/>
      <c r="K4" s="81"/>
      <c r="L4" s="81"/>
      <c r="M4" s="82"/>
      <c r="N4" s="83"/>
    </row>
    <row r="5" spans="1:14" ht="18" customHeight="1" x14ac:dyDescent="0.25">
      <c r="A5" s="30" t="s">
        <v>147</v>
      </c>
      <c r="B5" s="30" t="s">
        <v>148</v>
      </c>
      <c r="C5" s="31">
        <v>33</v>
      </c>
      <c r="D5" s="76"/>
      <c r="E5" s="76"/>
      <c r="F5" s="84" t="str">
        <f>IF(AND(D5&lt;&gt;"",E5&lt;&gt;""),E5-D5,"")</f>
        <v/>
      </c>
      <c r="G5" s="84">
        <v>82.3</v>
      </c>
      <c r="H5" s="85" t="str">
        <f>IF(F5&lt;&gt;"",G5-F5,"")</f>
        <v/>
      </c>
      <c r="I5" s="79" t="str">
        <f>IF(AND(F5&lt;&gt;"",G5&gt;0),(G5-F5)/G5,"")</f>
        <v/>
      </c>
      <c r="J5" s="80"/>
      <c r="K5" s="81"/>
      <c r="L5" s="81"/>
      <c r="M5" s="86"/>
      <c r="N5" s="87"/>
    </row>
    <row r="6" spans="1:14" ht="18" customHeight="1" x14ac:dyDescent="0.25">
      <c r="A6" s="21" t="s">
        <v>149</v>
      </c>
      <c r="B6" s="21" t="s">
        <v>150</v>
      </c>
      <c r="C6" s="75">
        <v>34.200000000000003</v>
      </c>
      <c r="D6" s="76"/>
      <c r="E6" s="76"/>
      <c r="F6" s="77" t="str">
        <f>IF(AND(D6&lt;&gt;"",E6&lt;&gt;""),E6-D6,"")</f>
        <v/>
      </c>
      <c r="G6" s="77">
        <v>82.3</v>
      </c>
      <c r="H6" s="78" t="str">
        <f>IF(F6&lt;&gt;"",G6-F6,"")</f>
        <v/>
      </c>
      <c r="I6" s="79" t="str">
        <f>IF(AND(F6&lt;&gt;"",G6&gt;0),(G6-F6)/G6,"")</f>
        <v/>
      </c>
      <c r="J6" s="80"/>
      <c r="K6" s="81"/>
      <c r="L6" s="81"/>
      <c r="M6" s="82"/>
      <c r="N6" s="83"/>
    </row>
    <row r="7" spans="1:14" ht="18" customHeight="1" x14ac:dyDescent="0.25">
      <c r="A7" s="30" t="s">
        <v>151</v>
      </c>
      <c r="B7" s="30" t="s">
        <v>152</v>
      </c>
      <c r="C7" s="31">
        <v>33.799999999999997</v>
      </c>
      <c r="D7" s="76"/>
      <c r="E7" s="76"/>
      <c r="F7" s="84" t="str">
        <f>IF(AND(D7&lt;&gt;"",E7&lt;&gt;""),E7-D7,"")</f>
        <v/>
      </c>
      <c r="G7" s="84">
        <v>82.3</v>
      </c>
      <c r="H7" s="85" t="str">
        <f>IF(F7&lt;&gt;"",G7-F7,"")</f>
        <v/>
      </c>
      <c r="I7" s="79" t="str">
        <f>IF(AND(F7&lt;&gt;"",G7&gt;0),(G7-F7)/G7,"")</f>
        <v/>
      </c>
      <c r="J7" s="80"/>
      <c r="K7" s="81"/>
      <c r="L7" s="81"/>
      <c r="M7" s="86"/>
      <c r="N7" s="87"/>
    </row>
    <row r="8" spans="1:14" ht="18" customHeight="1" x14ac:dyDescent="0.25">
      <c r="A8" s="21" t="s">
        <v>153</v>
      </c>
      <c r="B8" s="21" t="s">
        <v>154</v>
      </c>
      <c r="C8" s="75">
        <v>34.5</v>
      </c>
      <c r="D8" s="76"/>
      <c r="E8" s="76"/>
      <c r="F8" s="77" t="str">
        <f>IF(AND(D8&lt;&gt;"",E8&lt;&gt;""),E8-D8,"")</f>
        <v/>
      </c>
      <c r="G8" s="77">
        <v>82.3</v>
      </c>
      <c r="H8" s="78" t="str">
        <f>IF(F8&lt;&gt;"",G8-F8,"")</f>
        <v/>
      </c>
      <c r="I8" s="79" t="str">
        <f>IF(AND(F8&lt;&gt;"",G8&gt;0),(G8-F8)/G8,"")</f>
        <v/>
      </c>
      <c r="J8" s="80"/>
      <c r="K8" s="81"/>
      <c r="L8" s="81"/>
      <c r="M8" s="82"/>
      <c r="N8" s="83"/>
    </row>
    <row r="9" spans="1:14" ht="18" customHeight="1" x14ac:dyDescent="0.25">
      <c r="A9" s="33" t="s">
        <v>155</v>
      </c>
      <c r="B9" s="88" t="s">
        <v>156</v>
      </c>
      <c r="C9" s="89"/>
      <c r="D9" s="76"/>
      <c r="E9" s="76"/>
      <c r="F9" s="90" t="s">
        <v>157</v>
      </c>
      <c r="G9" s="90" t="s">
        <v>157</v>
      </c>
      <c r="H9" s="91" t="s">
        <v>157</v>
      </c>
      <c r="I9" s="92" t="s">
        <v>157</v>
      </c>
      <c r="J9" s="93"/>
      <c r="K9" s="94"/>
      <c r="L9" s="94"/>
      <c r="M9" s="95"/>
      <c r="N9" s="96"/>
    </row>
    <row r="10" spans="1:14" ht="18" customHeight="1" x14ac:dyDescent="0.25">
      <c r="A10" s="33" t="s">
        <v>158</v>
      </c>
      <c r="B10" s="88" t="s">
        <v>159</v>
      </c>
      <c r="C10" s="89"/>
      <c r="D10" s="76"/>
      <c r="E10" s="76"/>
      <c r="F10" s="90" t="s">
        <v>157</v>
      </c>
      <c r="G10" s="90" t="s">
        <v>157</v>
      </c>
      <c r="H10" s="91" t="s">
        <v>157</v>
      </c>
      <c r="I10" s="92" t="s">
        <v>157</v>
      </c>
      <c r="J10" s="93"/>
      <c r="K10" s="94"/>
      <c r="L10" s="94"/>
      <c r="M10" s="95"/>
      <c r="N10" s="96"/>
    </row>
    <row r="11" spans="1:14" ht="18" customHeight="1" x14ac:dyDescent="0.25">
      <c r="A11" s="30" t="s">
        <v>160</v>
      </c>
      <c r="B11" s="30" t="s">
        <v>146</v>
      </c>
      <c r="C11" s="31">
        <v>34</v>
      </c>
      <c r="D11" s="76"/>
      <c r="E11" s="76"/>
      <c r="F11" s="84" t="str">
        <f>IF(AND(D11&lt;&gt;"",E11&lt;&gt;""),E11-D11,"")</f>
        <v/>
      </c>
      <c r="G11" s="84">
        <v>82.3</v>
      </c>
      <c r="H11" s="85" t="str">
        <f>IF(F11&lt;&gt;"",G11-F11,"")</f>
        <v/>
      </c>
      <c r="I11" s="79" t="str">
        <f>IF(AND(F11&lt;&gt;"",G11&gt;0),(G11-F11)/G11,"")</f>
        <v/>
      </c>
      <c r="J11" s="80"/>
      <c r="K11" s="81"/>
      <c r="L11" s="81"/>
      <c r="M11" s="86"/>
      <c r="N11" s="87"/>
    </row>
    <row r="12" spans="1:14" ht="18" customHeight="1" x14ac:dyDescent="0.25">
      <c r="A12" s="21" t="s">
        <v>161</v>
      </c>
      <c r="B12" s="21" t="s">
        <v>148</v>
      </c>
      <c r="C12" s="75">
        <v>33.5</v>
      </c>
      <c r="D12" s="76"/>
      <c r="E12" s="76"/>
      <c r="F12" s="77" t="str">
        <f>IF(AND(D12&lt;&gt;"",E12&lt;&gt;""),E12-D12,"")</f>
        <v/>
      </c>
      <c r="G12" s="77">
        <v>82.3</v>
      </c>
      <c r="H12" s="78" t="str">
        <f>IF(F12&lt;&gt;"",G12-F12,"")</f>
        <v/>
      </c>
      <c r="I12" s="79" t="str">
        <f>IF(AND(F12&lt;&gt;"",G12&gt;0),(G12-F12)/G12,"")</f>
        <v/>
      </c>
      <c r="J12" s="80"/>
      <c r="K12" s="81"/>
      <c r="L12" s="81"/>
      <c r="M12" s="82"/>
      <c r="N12" s="83"/>
    </row>
    <row r="13" spans="1:14" ht="18" customHeight="1" x14ac:dyDescent="0.25">
      <c r="A13" s="30" t="s">
        <v>162</v>
      </c>
      <c r="B13" s="30" t="s">
        <v>150</v>
      </c>
      <c r="C13" s="31">
        <v>35.1</v>
      </c>
      <c r="D13" s="76"/>
      <c r="E13" s="76"/>
      <c r="F13" s="84" t="str">
        <f>IF(AND(D13&lt;&gt;"",E13&lt;&gt;""),E13-D13,"")</f>
        <v/>
      </c>
      <c r="G13" s="84">
        <v>82.3</v>
      </c>
      <c r="H13" s="85" t="str">
        <f>IF(F13&lt;&gt;"",G13-F13,"")</f>
        <v/>
      </c>
      <c r="I13" s="79" t="str">
        <f>IF(AND(F13&lt;&gt;"",G13&gt;0),(G13-F13)/G13,"")</f>
        <v/>
      </c>
      <c r="J13" s="80"/>
      <c r="K13" s="81"/>
      <c r="L13" s="81"/>
      <c r="M13" s="86"/>
      <c r="N13" s="87"/>
    </row>
    <row r="14" spans="1:14" ht="18" customHeight="1" x14ac:dyDescent="0.25">
      <c r="A14" s="21" t="s">
        <v>163</v>
      </c>
      <c r="B14" s="21" t="s">
        <v>152</v>
      </c>
      <c r="C14" s="75">
        <v>34.799999999999997</v>
      </c>
      <c r="D14" s="76"/>
      <c r="E14" s="76"/>
      <c r="F14" s="77" t="str">
        <f>IF(AND(D14&lt;&gt;"",E14&lt;&gt;""),E14-D14,"")</f>
        <v/>
      </c>
      <c r="G14" s="77">
        <v>82.3</v>
      </c>
      <c r="H14" s="78" t="str">
        <f>IF(F14&lt;&gt;"",G14-F14,"")</f>
        <v/>
      </c>
      <c r="I14" s="79" t="str">
        <f>IF(AND(F14&lt;&gt;"",G14&gt;0),(G14-F14)/G14,"")</f>
        <v/>
      </c>
      <c r="J14" s="80"/>
      <c r="K14" s="81"/>
      <c r="L14" s="81"/>
      <c r="M14" s="82"/>
      <c r="N14" s="83"/>
    </row>
    <row r="15" spans="1:14" ht="18" customHeight="1" x14ac:dyDescent="0.25">
      <c r="A15" s="30" t="s">
        <v>164</v>
      </c>
      <c r="B15" s="30" t="s">
        <v>154</v>
      </c>
      <c r="C15" s="31">
        <v>35.200000000000003</v>
      </c>
      <c r="D15" s="76"/>
      <c r="E15" s="76"/>
      <c r="F15" s="84" t="str">
        <f>IF(AND(D15&lt;&gt;"",E15&lt;&gt;""),E15-D15,"")</f>
        <v/>
      </c>
      <c r="G15" s="84">
        <v>82.3</v>
      </c>
      <c r="H15" s="85" t="str">
        <f>IF(F15&lt;&gt;"",G15-F15,"")</f>
        <v/>
      </c>
      <c r="I15" s="79" t="str">
        <f>IF(AND(F15&lt;&gt;"",G15&gt;0),(G15-F15)/G15,"")</f>
        <v/>
      </c>
      <c r="J15" s="80"/>
      <c r="K15" s="81"/>
      <c r="L15" s="81"/>
      <c r="M15" s="86"/>
      <c r="N15" s="87"/>
    </row>
    <row r="16" spans="1:14" ht="18" customHeight="1" x14ac:dyDescent="0.25">
      <c r="A16" s="33" t="s">
        <v>165</v>
      </c>
      <c r="B16" s="88" t="s">
        <v>156</v>
      </c>
      <c r="C16" s="89"/>
      <c r="D16" s="76"/>
      <c r="E16" s="76"/>
      <c r="F16" s="90" t="s">
        <v>157</v>
      </c>
      <c r="G16" s="90" t="s">
        <v>157</v>
      </c>
      <c r="H16" s="91" t="s">
        <v>157</v>
      </c>
      <c r="I16" s="92" t="s">
        <v>157</v>
      </c>
      <c r="J16" s="93"/>
      <c r="K16" s="94"/>
      <c r="L16" s="94"/>
      <c r="M16" s="95"/>
      <c r="N16" s="96"/>
    </row>
    <row r="17" spans="1:14" ht="18" customHeight="1" x14ac:dyDescent="0.25">
      <c r="A17" s="33" t="s">
        <v>166</v>
      </c>
      <c r="B17" s="88" t="s">
        <v>159</v>
      </c>
      <c r="C17" s="89"/>
      <c r="D17" s="76"/>
      <c r="E17" s="76"/>
      <c r="F17" s="90" t="s">
        <v>157</v>
      </c>
      <c r="G17" s="90" t="s">
        <v>157</v>
      </c>
      <c r="H17" s="91" t="s">
        <v>157</v>
      </c>
      <c r="I17" s="92" t="s">
        <v>157</v>
      </c>
      <c r="J17" s="93"/>
      <c r="K17" s="94"/>
      <c r="L17" s="94"/>
      <c r="M17" s="95"/>
      <c r="N17" s="96"/>
    </row>
    <row r="18" spans="1:14" ht="18" customHeight="1" x14ac:dyDescent="0.25">
      <c r="A18" s="21" t="s">
        <v>167</v>
      </c>
      <c r="B18" s="21" t="s">
        <v>146</v>
      </c>
      <c r="C18" s="75">
        <v>35.5</v>
      </c>
      <c r="D18" s="76"/>
      <c r="E18" s="76"/>
      <c r="F18" s="77" t="str">
        <f>IF(AND(D18&lt;&gt;"",E18&lt;&gt;""),E18-D18,"")</f>
        <v/>
      </c>
      <c r="G18" s="77">
        <v>82.3</v>
      </c>
      <c r="H18" s="78" t="str">
        <f>IF(F18&lt;&gt;"",G18-F18,"")</f>
        <v/>
      </c>
      <c r="I18" s="79" t="str">
        <f>IF(AND(F18&lt;&gt;"",G18&gt;0),(G18-F18)/G18,"")</f>
        <v/>
      </c>
      <c r="J18" s="80"/>
      <c r="K18" s="81"/>
      <c r="L18" s="81"/>
      <c r="M18" s="82"/>
      <c r="N18" s="83"/>
    </row>
    <row r="19" spans="1:14" ht="18" customHeight="1" x14ac:dyDescent="0.25">
      <c r="A19" s="30" t="s">
        <v>168</v>
      </c>
      <c r="B19" s="30" t="s">
        <v>148</v>
      </c>
      <c r="C19" s="31">
        <v>36</v>
      </c>
      <c r="D19" s="76"/>
      <c r="E19" s="76"/>
      <c r="F19" s="84" t="str">
        <f>IF(AND(D19&lt;&gt;"",E19&lt;&gt;""),E19-D19,"")</f>
        <v/>
      </c>
      <c r="G19" s="84">
        <v>82.3</v>
      </c>
      <c r="H19" s="85" t="str">
        <f>IF(F19&lt;&gt;"",G19-F19,"")</f>
        <v/>
      </c>
      <c r="I19" s="79" t="str">
        <f>IF(AND(F19&lt;&gt;"",G19&gt;0),(G19-F19)/G19,"")</f>
        <v/>
      </c>
      <c r="J19" s="80"/>
      <c r="K19" s="81"/>
      <c r="L19" s="81"/>
      <c r="M19" s="86"/>
      <c r="N19" s="87"/>
    </row>
    <row r="20" spans="1:14" ht="18" customHeight="1" x14ac:dyDescent="0.25">
      <c r="A20" s="21" t="s">
        <v>169</v>
      </c>
      <c r="B20" s="21" t="s">
        <v>150</v>
      </c>
      <c r="C20" s="75">
        <v>35.799999999999997</v>
      </c>
      <c r="D20" s="76"/>
      <c r="E20" s="76"/>
      <c r="F20" s="77" t="str">
        <f>IF(AND(D20&lt;&gt;"",E20&lt;&gt;""),E20-D20,"")</f>
        <v/>
      </c>
      <c r="G20" s="77">
        <v>82.3</v>
      </c>
      <c r="H20" s="78" t="str">
        <f>IF(F20&lt;&gt;"",G20-F20,"")</f>
        <v/>
      </c>
      <c r="I20" s="79" t="str">
        <f>IF(AND(F20&lt;&gt;"",G20&gt;0),(G20-F20)/G20,"")</f>
        <v/>
      </c>
      <c r="J20" s="80"/>
      <c r="K20" s="81"/>
      <c r="L20" s="81"/>
      <c r="M20" s="82"/>
      <c r="N20" s="83"/>
    </row>
    <row r="21" spans="1:14" ht="18" customHeight="1" x14ac:dyDescent="0.25">
      <c r="A21" s="30" t="s">
        <v>170</v>
      </c>
      <c r="B21" s="30" t="s">
        <v>152</v>
      </c>
      <c r="C21" s="31">
        <v>35.299999999999997</v>
      </c>
      <c r="D21" s="76"/>
      <c r="E21" s="76"/>
      <c r="F21" s="84" t="str">
        <f>IF(AND(D21&lt;&gt;"",E21&lt;&gt;""),E21-D21,"")</f>
        <v/>
      </c>
      <c r="G21" s="84">
        <v>82.3</v>
      </c>
      <c r="H21" s="85" t="str">
        <f>IF(F21&lt;&gt;"",G21-F21,"")</f>
        <v/>
      </c>
      <c r="I21" s="79" t="str">
        <f>IF(AND(F21&lt;&gt;"",G21&gt;0),(G21-F21)/G21,"")</f>
        <v/>
      </c>
      <c r="J21" s="80"/>
      <c r="K21" s="81"/>
      <c r="L21" s="81"/>
      <c r="M21" s="86"/>
      <c r="N21" s="87"/>
    </row>
    <row r="22" spans="1:14" ht="18" customHeight="1" x14ac:dyDescent="0.25">
      <c r="A22" s="21" t="s">
        <v>171</v>
      </c>
      <c r="B22" s="21" t="s">
        <v>154</v>
      </c>
      <c r="C22" s="75">
        <v>34.9</v>
      </c>
      <c r="D22" s="76"/>
      <c r="E22" s="76"/>
      <c r="F22" s="77" t="str">
        <f>IF(AND(D22&lt;&gt;"",E22&lt;&gt;""),E22-D22,"")</f>
        <v/>
      </c>
      <c r="G22" s="77">
        <v>82.3</v>
      </c>
      <c r="H22" s="78" t="str">
        <f>IF(F22&lt;&gt;"",G22-F22,"")</f>
        <v/>
      </c>
      <c r="I22" s="79" t="str">
        <f>IF(AND(F22&lt;&gt;"",G22&gt;0),(G22-F22)/G22,"")</f>
        <v/>
      </c>
      <c r="J22" s="80"/>
      <c r="K22" s="81"/>
      <c r="L22" s="81"/>
      <c r="M22" s="82"/>
      <c r="N22" s="83"/>
    </row>
    <row r="23" spans="1:14" ht="18" customHeight="1" x14ac:dyDescent="0.25">
      <c r="A23" s="33" t="s">
        <v>172</v>
      </c>
      <c r="B23" s="88" t="s">
        <v>156</v>
      </c>
      <c r="C23" s="89"/>
      <c r="D23" s="76"/>
      <c r="E23" s="76"/>
      <c r="F23" s="90" t="s">
        <v>157</v>
      </c>
      <c r="G23" s="90" t="s">
        <v>157</v>
      </c>
      <c r="H23" s="91" t="s">
        <v>157</v>
      </c>
      <c r="I23" s="92" t="s">
        <v>157</v>
      </c>
      <c r="J23" s="93"/>
      <c r="K23" s="94"/>
      <c r="L23" s="94"/>
      <c r="M23" s="95"/>
      <c r="N23" s="96"/>
    </row>
    <row r="24" spans="1:14" ht="18" customHeight="1" x14ac:dyDescent="0.25">
      <c r="A24" s="33" t="s">
        <v>173</v>
      </c>
      <c r="B24" s="88" t="s">
        <v>159</v>
      </c>
      <c r="C24" s="89"/>
      <c r="D24" s="76"/>
      <c r="E24" s="76"/>
      <c r="F24" s="90" t="s">
        <v>157</v>
      </c>
      <c r="G24" s="90" t="s">
        <v>157</v>
      </c>
      <c r="H24" s="91" t="s">
        <v>157</v>
      </c>
      <c r="I24" s="92" t="s">
        <v>157</v>
      </c>
      <c r="J24" s="93"/>
      <c r="K24" s="94"/>
      <c r="L24" s="94"/>
      <c r="M24" s="95"/>
      <c r="N24" s="96"/>
    </row>
    <row r="25" spans="1:14" ht="18" customHeight="1" x14ac:dyDescent="0.25">
      <c r="A25" s="30" t="s">
        <v>174</v>
      </c>
      <c r="B25" s="30" t="s">
        <v>146</v>
      </c>
      <c r="C25" s="31">
        <v>36.200000000000003</v>
      </c>
      <c r="D25" s="76"/>
      <c r="E25" s="76"/>
      <c r="F25" s="84" t="str">
        <f>IF(AND(D25&lt;&gt;"",E25&lt;&gt;""),E25-D25,"")</f>
        <v/>
      </c>
      <c r="G25" s="84">
        <v>82.3</v>
      </c>
      <c r="H25" s="85" t="str">
        <f>IF(F25&lt;&gt;"",G25-F25,"")</f>
        <v/>
      </c>
      <c r="I25" s="79" t="str">
        <f>IF(AND(F25&lt;&gt;"",G25&gt;0),(G25-F25)/G25,"")</f>
        <v/>
      </c>
      <c r="J25" s="80"/>
      <c r="K25" s="81"/>
      <c r="L25" s="81"/>
      <c r="M25" s="86"/>
      <c r="N25" s="87"/>
    </row>
    <row r="26" spans="1:14" ht="18" customHeight="1" x14ac:dyDescent="0.25">
      <c r="A26" s="21" t="s">
        <v>175</v>
      </c>
      <c r="B26" s="21" t="s">
        <v>148</v>
      </c>
      <c r="C26" s="75">
        <v>36.5</v>
      </c>
      <c r="D26" s="76"/>
      <c r="E26" s="76"/>
      <c r="F26" s="77" t="str">
        <f>IF(AND(D26&lt;&gt;"",E26&lt;&gt;""),E26-D26,"")</f>
        <v/>
      </c>
      <c r="G26" s="77">
        <v>82.3</v>
      </c>
      <c r="H26" s="78" t="str">
        <f>IF(F26&lt;&gt;"",G26-F26,"")</f>
        <v/>
      </c>
      <c r="I26" s="79" t="str">
        <f>IF(AND(F26&lt;&gt;"",G26&gt;0),(G26-F26)/G26,"")</f>
        <v/>
      </c>
      <c r="J26" s="80"/>
      <c r="K26" s="81"/>
      <c r="L26" s="81"/>
      <c r="M26" s="82"/>
      <c r="N26" s="83"/>
    </row>
    <row r="27" spans="1:14" ht="18" customHeight="1" x14ac:dyDescent="0.25">
      <c r="A27" s="30" t="s">
        <v>176</v>
      </c>
      <c r="B27" s="30" t="s">
        <v>150</v>
      </c>
      <c r="C27" s="31">
        <v>35.700000000000003</v>
      </c>
      <c r="D27" s="76"/>
      <c r="E27" s="76"/>
      <c r="F27" s="84" t="str">
        <f>IF(AND(D27&lt;&gt;"",E27&lt;&gt;""),E27-D27,"")</f>
        <v/>
      </c>
      <c r="G27" s="84">
        <v>82.3</v>
      </c>
      <c r="H27" s="85" t="str">
        <f>IF(F27&lt;&gt;"",G27-F27,"")</f>
        <v/>
      </c>
      <c r="I27" s="79" t="str">
        <f>IF(AND(F27&lt;&gt;"",G27&gt;0),(G27-F27)/G27,"")</f>
        <v/>
      </c>
      <c r="J27" s="80"/>
      <c r="K27" s="81"/>
      <c r="L27" s="81"/>
      <c r="M27" s="86"/>
      <c r="N27" s="87"/>
    </row>
    <row r="28" spans="1:14" ht="18" customHeight="1" x14ac:dyDescent="0.25">
      <c r="A28" s="21" t="s">
        <v>177</v>
      </c>
      <c r="B28" s="21" t="s">
        <v>152</v>
      </c>
      <c r="C28" s="75">
        <v>35</v>
      </c>
      <c r="D28" s="76"/>
      <c r="E28" s="76"/>
      <c r="F28" s="77" t="str">
        <f>IF(AND(D28&lt;&gt;"",E28&lt;&gt;""),E28-D28,"")</f>
        <v/>
      </c>
      <c r="G28" s="77">
        <v>82.3</v>
      </c>
      <c r="H28" s="78" t="str">
        <f>IF(F28&lt;&gt;"",G28-F28,"")</f>
        <v/>
      </c>
      <c r="I28" s="79" t="str">
        <f>IF(AND(F28&lt;&gt;"",G28&gt;0),(G28-F28)/G28,"")</f>
        <v/>
      </c>
      <c r="J28" s="80"/>
      <c r="K28" s="81"/>
      <c r="L28" s="81"/>
      <c r="M28" s="82"/>
      <c r="N28" s="83"/>
    </row>
    <row r="29" spans="1:14" ht="18" customHeight="1" x14ac:dyDescent="0.25">
      <c r="A29" s="30" t="s">
        <v>178</v>
      </c>
      <c r="B29" s="30" t="s">
        <v>154</v>
      </c>
      <c r="C29" s="31">
        <v>34.799999999999997</v>
      </c>
      <c r="D29" s="76"/>
      <c r="E29" s="76"/>
      <c r="F29" s="84" t="str">
        <f>IF(AND(D29&lt;&gt;"",E29&lt;&gt;""),E29-D29,"")</f>
        <v/>
      </c>
      <c r="G29" s="84">
        <v>82.3</v>
      </c>
      <c r="H29" s="85" t="str">
        <f>IF(F29&lt;&gt;"",G29-F29,"")</f>
        <v/>
      </c>
      <c r="I29" s="79" t="str">
        <f>IF(AND(F29&lt;&gt;"",G29&gt;0),(G29-F29)/G29,"")</f>
        <v/>
      </c>
      <c r="J29" s="80"/>
      <c r="K29" s="81"/>
      <c r="L29" s="81"/>
      <c r="M29" s="86"/>
      <c r="N29" s="87"/>
    </row>
    <row r="30" spans="1:14" ht="18" customHeight="1" x14ac:dyDescent="0.25">
      <c r="A30" s="33" t="s">
        <v>179</v>
      </c>
      <c r="B30" s="88" t="s">
        <v>156</v>
      </c>
      <c r="C30" s="89"/>
      <c r="D30" s="76"/>
      <c r="E30" s="76"/>
      <c r="F30" s="90" t="s">
        <v>157</v>
      </c>
      <c r="G30" s="90" t="s">
        <v>157</v>
      </c>
      <c r="H30" s="91" t="s">
        <v>157</v>
      </c>
      <c r="I30" s="92" t="s">
        <v>157</v>
      </c>
      <c r="J30" s="93"/>
      <c r="K30" s="94"/>
      <c r="L30" s="94"/>
      <c r="M30" s="95"/>
      <c r="N30" s="96"/>
    </row>
    <row r="31" spans="1:14" ht="18" customHeight="1" x14ac:dyDescent="0.25">
      <c r="A31" s="33" t="s">
        <v>180</v>
      </c>
      <c r="B31" s="88" t="s">
        <v>159</v>
      </c>
      <c r="C31" s="89"/>
      <c r="D31" s="76"/>
      <c r="E31" s="76"/>
      <c r="F31" s="90" t="s">
        <v>157</v>
      </c>
      <c r="G31" s="90" t="s">
        <v>157</v>
      </c>
      <c r="H31" s="91" t="s">
        <v>157</v>
      </c>
      <c r="I31" s="92" t="s">
        <v>157</v>
      </c>
      <c r="J31" s="93"/>
      <c r="K31" s="94"/>
      <c r="L31" s="94"/>
      <c r="M31" s="95"/>
      <c r="N31" s="96"/>
    </row>
    <row r="32" spans="1:14" ht="18" customHeight="1" x14ac:dyDescent="0.25">
      <c r="A32" s="21" t="s">
        <v>181</v>
      </c>
      <c r="B32" s="21" t="s">
        <v>146</v>
      </c>
      <c r="C32" s="75">
        <v>35.5</v>
      </c>
      <c r="D32" s="76"/>
      <c r="E32" s="76"/>
      <c r="F32" s="77" t="str">
        <f>IF(AND(D32&lt;&gt;"",E32&lt;&gt;""),E32-D32,"")</f>
        <v/>
      </c>
      <c r="G32" s="77">
        <v>82.3</v>
      </c>
      <c r="H32" s="78" t="str">
        <f>IF(F32&lt;&gt;"",G32-F32,"")</f>
        <v/>
      </c>
      <c r="I32" s="79" t="str">
        <f>IF(AND(F32&lt;&gt;"",G32&gt;0),(G32-F32)/G32,"")</f>
        <v/>
      </c>
      <c r="J32" s="80"/>
      <c r="K32" s="81"/>
      <c r="L32" s="81"/>
      <c r="M32" s="82"/>
      <c r="N32" s="83"/>
    </row>
    <row r="33" spans="1:14" ht="18" customHeight="1" x14ac:dyDescent="0.25">
      <c r="A33" s="30" t="s">
        <v>182</v>
      </c>
      <c r="B33" s="30" t="s">
        <v>148</v>
      </c>
      <c r="C33" s="31">
        <v>36.799999999999997</v>
      </c>
      <c r="D33" s="76"/>
      <c r="E33" s="76"/>
      <c r="F33" s="84" t="str">
        <f>IF(AND(D33&lt;&gt;"",E33&lt;&gt;""),E33-D33,"")</f>
        <v/>
      </c>
      <c r="G33" s="84">
        <v>82.3</v>
      </c>
      <c r="H33" s="85" t="str">
        <f>IF(F33&lt;&gt;"",G33-F33,"")</f>
        <v/>
      </c>
      <c r="I33" s="79" t="str">
        <f>IF(AND(F33&lt;&gt;"",G33&gt;0),(G33-F33)/G33,"")</f>
        <v/>
      </c>
      <c r="J33" s="80"/>
      <c r="K33" s="81"/>
      <c r="L33" s="81"/>
      <c r="M33" s="86"/>
      <c r="N33" s="87"/>
    </row>
    <row r="34" spans="1:14" ht="18" customHeight="1" x14ac:dyDescent="0.25">
      <c r="A34" s="21" t="s">
        <v>183</v>
      </c>
      <c r="B34" s="21" t="s">
        <v>150</v>
      </c>
      <c r="C34" s="75">
        <v>37.200000000000003</v>
      </c>
      <c r="D34" s="76"/>
      <c r="E34" s="76"/>
      <c r="F34" s="77" t="str">
        <f>IF(AND(D34&lt;&gt;"",E34&lt;&gt;""),E34-D34,"")</f>
        <v/>
      </c>
      <c r="G34" s="77">
        <v>82.3</v>
      </c>
      <c r="H34" s="78" t="str">
        <f>IF(F34&lt;&gt;"",G34-F34,"")</f>
        <v/>
      </c>
      <c r="I34" s="79" t="str">
        <f>IF(AND(F34&lt;&gt;"",G34&gt;0),(G34-F34)/G34,"")</f>
        <v/>
      </c>
      <c r="J34" s="80"/>
      <c r="K34" s="81"/>
      <c r="L34" s="81"/>
      <c r="M34" s="82"/>
      <c r="N34" s="83"/>
    </row>
    <row r="35" spans="1:14" ht="18" customHeight="1" x14ac:dyDescent="0.25">
      <c r="A35" s="30" t="s">
        <v>184</v>
      </c>
      <c r="B35" s="30" t="s">
        <v>152</v>
      </c>
      <c r="C35" s="31">
        <v>36.9</v>
      </c>
      <c r="D35" s="76"/>
      <c r="E35" s="76"/>
      <c r="F35" s="84" t="str">
        <f>IF(AND(D35&lt;&gt;"",E35&lt;&gt;""),E35-D35,"")</f>
        <v/>
      </c>
      <c r="G35" s="84">
        <v>82.3</v>
      </c>
      <c r="H35" s="85" t="str">
        <f>IF(F35&lt;&gt;"",G35-F35,"")</f>
        <v/>
      </c>
      <c r="I35" s="79" t="str">
        <f>IF(AND(F35&lt;&gt;"",G35&gt;0),(G35-F35)/G35,"")</f>
        <v/>
      </c>
      <c r="J35" s="80"/>
      <c r="K35" s="81"/>
      <c r="L35" s="81"/>
      <c r="M35" s="86"/>
      <c r="N35" s="87"/>
    </row>
    <row r="36" spans="1:14" ht="18" customHeight="1" x14ac:dyDescent="0.25">
      <c r="A36" s="21" t="s">
        <v>185</v>
      </c>
      <c r="B36" s="21" t="s">
        <v>154</v>
      </c>
      <c r="C36" s="75">
        <v>37</v>
      </c>
      <c r="D36" s="76"/>
      <c r="E36" s="76"/>
      <c r="F36" s="77" t="str">
        <f>IF(AND(D36&lt;&gt;"",E36&lt;&gt;""),E36-D36,"")</f>
        <v/>
      </c>
      <c r="G36" s="77">
        <v>82.3</v>
      </c>
      <c r="H36" s="78" t="str">
        <f>IF(F36&lt;&gt;"",G36-F36,"")</f>
        <v/>
      </c>
      <c r="I36" s="79" t="str">
        <f>IF(AND(F36&lt;&gt;"",G36&gt;0),(G36-F36)/G36,"")</f>
        <v/>
      </c>
      <c r="J36" s="80"/>
      <c r="K36" s="81"/>
      <c r="L36" s="81"/>
      <c r="M36" s="82"/>
      <c r="N36" s="83"/>
    </row>
    <row r="37" spans="1:14" ht="18" customHeight="1" x14ac:dyDescent="0.25">
      <c r="A37" s="33" t="s">
        <v>186</v>
      </c>
      <c r="B37" s="88" t="s">
        <v>156</v>
      </c>
      <c r="C37" s="89"/>
      <c r="D37" s="76"/>
      <c r="E37" s="76"/>
      <c r="F37" s="90" t="s">
        <v>157</v>
      </c>
      <c r="G37" s="90" t="s">
        <v>157</v>
      </c>
      <c r="H37" s="91" t="s">
        <v>157</v>
      </c>
      <c r="I37" s="92" t="s">
        <v>157</v>
      </c>
      <c r="J37" s="93"/>
      <c r="K37" s="94"/>
      <c r="L37" s="94"/>
      <c r="M37" s="95"/>
      <c r="N37" s="96"/>
    </row>
    <row r="38" spans="1:14" ht="18" customHeight="1" x14ac:dyDescent="0.25">
      <c r="A38" s="33" t="s">
        <v>187</v>
      </c>
      <c r="B38" s="88" t="s">
        <v>159</v>
      </c>
      <c r="C38" s="89"/>
      <c r="D38" s="76"/>
      <c r="E38" s="76"/>
      <c r="F38" s="90" t="s">
        <v>157</v>
      </c>
      <c r="G38" s="90" t="s">
        <v>157</v>
      </c>
      <c r="H38" s="91" t="s">
        <v>157</v>
      </c>
      <c r="I38" s="92" t="s">
        <v>157</v>
      </c>
      <c r="J38" s="93"/>
      <c r="K38" s="94"/>
      <c r="L38" s="94"/>
      <c r="M38" s="95"/>
      <c r="N38" s="96"/>
    </row>
    <row r="39" spans="1:14" ht="18" customHeight="1" x14ac:dyDescent="0.25">
      <c r="A39" s="30" t="s">
        <v>188</v>
      </c>
      <c r="B39" s="30" t="s">
        <v>146</v>
      </c>
      <c r="C39" s="31">
        <v>37.5</v>
      </c>
      <c r="D39" s="76"/>
      <c r="E39" s="76"/>
      <c r="F39" s="84" t="str">
        <f>IF(AND(D39&lt;&gt;"",E39&lt;&gt;""),E39-D39,"")</f>
        <v/>
      </c>
      <c r="G39" s="84">
        <v>82.3</v>
      </c>
      <c r="H39" s="85" t="str">
        <f>IF(F39&lt;&gt;"",G39-F39,"")</f>
        <v/>
      </c>
      <c r="I39" s="79" t="str">
        <f>IF(AND(F39&lt;&gt;"",G39&gt;0),(G39-F39)/G39,"")</f>
        <v/>
      </c>
      <c r="J39" s="80"/>
      <c r="K39" s="81"/>
      <c r="L39" s="81"/>
      <c r="M39" s="86"/>
      <c r="N39" s="87"/>
    </row>
    <row r="40" spans="1:14" ht="18" customHeight="1" x14ac:dyDescent="0.25">
      <c r="A40" s="21" t="s">
        <v>189</v>
      </c>
      <c r="B40" s="21" t="s">
        <v>148</v>
      </c>
      <c r="C40" s="75">
        <v>38</v>
      </c>
      <c r="D40" s="76"/>
      <c r="E40" s="76"/>
      <c r="F40" s="77" t="str">
        <f>IF(AND(D40&lt;&gt;"",E40&lt;&gt;""),E40-D40,"")</f>
        <v/>
      </c>
      <c r="G40" s="77">
        <v>82.3</v>
      </c>
      <c r="H40" s="78" t="str">
        <f>IF(F40&lt;&gt;"",G40-F40,"")</f>
        <v/>
      </c>
      <c r="I40" s="79" t="str">
        <f>IF(AND(F40&lt;&gt;"",G40&gt;0),(G40-F40)/G40,"")</f>
        <v/>
      </c>
      <c r="J40" s="80"/>
      <c r="K40" s="81"/>
      <c r="L40" s="81"/>
      <c r="M40" s="82"/>
      <c r="N40" s="83"/>
    </row>
    <row r="41" spans="1:14" ht="18" customHeight="1" x14ac:dyDescent="0.25">
      <c r="A41" s="30" t="s">
        <v>190</v>
      </c>
      <c r="B41" s="30" t="s">
        <v>150</v>
      </c>
      <c r="C41" s="31">
        <v>37.799999999999997</v>
      </c>
      <c r="D41" s="76"/>
      <c r="E41" s="76"/>
      <c r="F41" s="84" t="str">
        <f>IF(AND(D41&lt;&gt;"",E41&lt;&gt;""),E41-D41,"")</f>
        <v/>
      </c>
      <c r="G41" s="84">
        <v>82.3</v>
      </c>
      <c r="H41" s="85" t="str">
        <f>IF(F41&lt;&gt;"",G41-F41,"")</f>
        <v/>
      </c>
      <c r="I41" s="79" t="str">
        <f>IF(AND(F41&lt;&gt;"",G41&gt;0),(G41-F41)/G41,"")</f>
        <v/>
      </c>
      <c r="J41" s="80"/>
      <c r="K41" s="81"/>
      <c r="L41" s="81"/>
      <c r="M41" s="86"/>
      <c r="N41" s="87"/>
    </row>
    <row r="42" spans="1:14" ht="18" customHeight="1" x14ac:dyDescent="0.25">
      <c r="A42" s="21" t="s">
        <v>191</v>
      </c>
      <c r="B42" s="21" t="s">
        <v>152</v>
      </c>
      <c r="C42" s="75">
        <v>37.5</v>
      </c>
      <c r="D42" s="76"/>
      <c r="E42" s="76"/>
      <c r="F42" s="77" t="str">
        <f>IF(AND(D42&lt;&gt;"",E42&lt;&gt;""),E42-D42,"")</f>
        <v/>
      </c>
      <c r="G42" s="77">
        <v>82.3</v>
      </c>
      <c r="H42" s="78" t="str">
        <f>IF(F42&lt;&gt;"",G42-F42,"")</f>
        <v/>
      </c>
      <c r="I42" s="79" t="str">
        <f>IF(AND(F42&lt;&gt;"",G42&gt;0),(G42-F42)/G42,"")</f>
        <v/>
      </c>
      <c r="J42" s="80"/>
      <c r="K42" s="81"/>
      <c r="L42" s="81"/>
      <c r="M42" s="82"/>
      <c r="N42" s="83"/>
    </row>
    <row r="43" spans="1:14" ht="18" customHeight="1" x14ac:dyDescent="0.25">
      <c r="A43" s="30" t="s">
        <v>192</v>
      </c>
      <c r="B43" s="30" t="s">
        <v>154</v>
      </c>
      <c r="C43" s="31">
        <v>37.200000000000003</v>
      </c>
      <c r="D43" s="76"/>
      <c r="E43" s="76"/>
      <c r="F43" s="84" t="str">
        <f>IF(AND(D43&lt;&gt;"",E43&lt;&gt;""),E43-D43,"")</f>
        <v/>
      </c>
      <c r="G43" s="84">
        <v>82.3</v>
      </c>
      <c r="H43" s="85" t="str">
        <f>IF(F43&lt;&gt;"",G43-F43,"")</f>
        <v/>
      </c>
      <c r="I43" s="79" t="str">
        <f>IF(AND(F43&lt;&gt;"",G43&gt;0),(G43-F43)/G43,"")</f>
        <v/>
      </c>
      <c r="J43" s="80"/>
      <c r="K43" s="81"/>
      <c r="L43" s="81"/>
      <c r="M43" s="86"/>
      <c r="N43" s="87"/>
    </row>
    <row r="44" spans="1:14" ht="18" customHeight="1" x14ac:dyDescent="0.25">
      <c r="A44" s="33" t="s">
        <v>193</v>
      </c>
      <c r="B44" s="88" t="s">
        <v>156</v>
      </c>
      <c r="C44" s="89"/>
      <c r="D44" s="76"/>
      <c r="E44" s="76"/>
      <c r="F44" s="90" t="s">
        <v>157</v>
      </c>
      <c r="G44" s="90" t="s">
        <v>157</v>
      </c>
      <c r="H44" s="91" t="s">
        <v>157</v>
      </c>
      <c r="I44" s="92" t="s">
        <v>157</v>
      </c>
      <c r="J44" s="93"/>
      <c r="K44" s="94"/>
      <c r="L44" s="94"/>
      <c r="M44" s="95"/>
      <c r="N44" s="96"/>
    </row>
    <row r="45" spans="1:14" ht="18" customHeight="1" x14ac:dyDescent="0.25">
      <c r="A45" s="33" t="s">
        <v>194</v>
      </c>
      <c r="B45" s="88" t="s">
        <v>159</v>
      </c>
      <c r="C45" s="89"/>
      <c r="D45" s="76"/>
      <c r="E45" s="76"/>
      <c r="F45" s="90" t="s">
        <v>157</v>
      </c>
      <c r="G45" s="90" t="s">
        <v>157</v>
      </c>
      <c r="H45" s="91" t="s">
        <v>157</v>
      </c>
      <c r="I45" s="92" t="s">
        <v>157</v>
      </c>
      <c r="J45" s="93"/>
      <c r="K45" s="94"/>
      <c r="L45" s="94"/>
      <c r="M45" s="95"/>
      <c r="N45" s="96"/>
    </row>
    <row r="46" spans="1:14" ht="18" customHeight="1" x14ac:dyDescent="0.25">
      <c r="A46" s="21" t="s">
        <v>195</v>
      </c>
      <c r="B46" s="21" t="s">
        <v>146</v>
      </c>
      <c r="C46" s="75">
        <v>37</v>
      </c>
      <c r="D46" s="76"/>
      <c r="E46" s="76"/>
      <c r="F46" s="77" t="str">
        <f>IF(AND(D46&lt;&gt;"",E46&lt;&gt;""),E46-D46,"")</f>
        <v/>
      </c>
      <c r="G46" s="77">
        <v>82.3</v>
      </c>
      <c r="H46" s="78" t="str">
        <f>IF(F46&lt;&gt;"",G46-F46,"")</f>
        <v/>
      </c>
      <c r="I46" s="79" t="str">
        <f>IF(AND(F46&lt;&gt;"",G46&gt;0),(G46-F46)/G46,"")</f>
        <v/>
      </c>
      <c r="J46" s="80"/>
      <c r="K46" s="81"/>
      <c r="L46" s="81"/>
      <c r="M46" s="82"/>
      <c r="N46" s="83"/>
    </row>
    <row r="47" spans="1:14" ht="18" customHeight="1" x14ac:dyDescent="0.25">
      <c r="A47" s="30" t="s">
        <v>196</v>
      </c>
      <c r="B47" s="30" t="s">
        <v>148</v>
      </c>
      <c r="C47" s="31">
        <v>36.5</v>
      </c>
      <c r="D47" s="76"/>
      <c r="E47" s="76"/>
      <c r="F47" s="84" t="str">
        <f>IF(AND(D47&lt;&gt;"",E47&lt;&gt;""),E47-D47,"")</f>
        <v/>
      </c>
      <c r="G47" s="84">
        <v>82.3</v>
      </c>
      <c r="H47" s="85" t="str">
        <f>IF(F47&lt;&gt;"",G47-F47,"")</f>
        <v/>
      </c>
      <c r="I47" s="79" t="str">
        <f>IF(AND(F47&lt;&gt;"",G47&gt;0),(G47-F47)/G47,"")</f>
        <v/>
      </c>
      <c r="J47" s="80"/>
      <c r="K47" s="81"/>
      <c r="L47" s="81"/>
      <c r="M47" s="86"/>
      <c r="N47" s="87"/>
    </row>
    <row r="48" spans="1:14" ht="18" customHeight="1" x14ac:dyDescent="0.25">
      <c r="A48" s="21" t="s">
        <v>197</v>
      </c>
      <c r="B48" s="21" t="s">
        <v>150</v>
      </c>
      <c r="C48" s="75">
        <v>36.799999999999997</v>
      </c>
      <c r="D48" s="76"/>
      <c r="E48" s="76"/>
      <c r="F48" s="77" t="str">
        <f>IF(AND(D48&lt;&gt;"",E48&lt;&gt;""),E48-D48,"")</f>
        <v/>
      </c>
      <c r="G48" s="77">
        <v>82.3</v>
      </c>
      <c r="H48" s="78" t="str">
        <f>IF(F48&lt;&gt;"",G48-F48,"")</f>
        <v/>
      </c>
      <c r="I48" s="79" t="str">
        <f>IF(AND(F48&lt;&gt;"",G48&gt;0),(G48-F48)/G48,"")</f>
        <v/>
      </c>
      <c r="J48" s="80"/>
      <c r="K48" s="81"/>
      <c r="L48" s="81"/>
      <c r="M48" s="82"/>
      <c r="N48" s="83"/>
    </row>
    <row r="49" spans="1:14" ht="18" customHeight="1" x14ac:dyDescent="0.25">
      <c r="A49" s="30" t="s">
        <v>198</v>
      </c>
      <c r="B49" s="30" t="s">
        <v>152</v>
      </c>
      <c r="C49" s="31">
        <v>36.299999999999997</v>
      </c>
      <c r="D49" s="76"/>
      <c r="E49" s="76"/>
      <c r="F49" s="84" t="str">
        <f>IF(AND(D49&lt;&gt;"",E49&lt;&gt;""),E49-D49,"")</f>
        <v/>
      </c>
      <c r="G49" s="84">
        <v>82.3</v>
      </c>
      <c r="H49" s="85" t="str">
        <f>IF(F49&lt;&gt;"",G49-F49,"")</f>
        <v/>
      </c>
      <c r="I49" s="79" t="str">
        <f>IF(AND(F49&lt;&gt;"",G49&gt;0),(G49-F49)/G49,"")</f>
        <v/>
      </c>
      <c r="J49" s="80"/>
      <c r="K49" s="81"/>
      <c r="L49" s="81"/>
      <c r="M49" s="86"/>
      <c r="N49" s="87"/>
    </row>
    <row r="50" spans="1:14" ht="18" customHeight="1" x14ac:dyDescent="0.25">
      <c r="A50" s="21" t="s">
        <v>199</v>
      </c>
      <c r="B50" s="21" t="s">
        <v>154</v>
      </c>
      <c r="C50" s="75">
        <v>36</v>
      </c>
      <c r="D50" s="76"/>
      <c r="E50" s="76"/>
      <c r="F50" s="77" t="str">
        <f>IF(AND(D50&lt;&gt;"",E50&lt;&gt;""),E50-D50,"")</f>
        <v/>
      </c>
      <c r="G50" s="77">
        <v>82.3</v>
      </c>
      <c r="H50" s="78" t="str">
        <f>IF(F50&lt;&gt;"",G50-F50,"")</f>
        <v/>
      </c>
      <c r="I50" s="79" t="str">
        <f>IF(AND(F50&lt;&gt;"",G50&gt;0),(G50-F50)/G50,"")</f>
        <v/>
      </c>
      <c r="J50" s="80"/>
      <c r="K50" s="81"/>
      <c r="L50" s="81"/>
      <c r="M50" s="82"/>
      <c r="N50" s="83"/>
    </row>
    <row r="51" spans="1:14" ht="18" customHeight="1" x14ac:dyDescent="0.25">
      <c r="A51" s="33" t="s">
        <v>200</v>
      </c>
      <c r="B51" s="88" t="s">
        <v>156</v>
      </c>
      <c r="C51" s="89"/>
      <c r="D51" s="76"/>
      <c r="E51" s="76"/>
      <c r="F51" s="90" t="s">
        <v>157</v>
      </c>
      <c r="G51" s="90" t="s">
        <v>157</v>
      </c>
      <c r="H51" s="91" t="s">
        <v>157</v>
      </c>
      <c r="I51" s="92" t="s">
        <v>157</v>
      </c>
      <c r="J51" s="93"/>
      <c r="K51" s="94"/>
      <c r="L51" s="94"/>
      <c r="M51" s="95"/>
      <c r="N51" s="96"/>
    </row>
    <row r="52" spans="1:14" ht="18" customHeight="1" x14ac:dyDescent="0.25">
      <c r="A52" s="33" t="s">
        <v>201</v>
      </c>
      <c r="B52" s="88" t="s">
        <v>159</v>
      </c>
      <c r="C52" s="89"/>
      <c r="D52" s="76"/>
      <c r="E52" s="76"/>
      <c r="F52" s="90" t="s">
        <v>157</v>
      </c>
      <c r="G52" s="90" t="s">
        <v>157</v>
      </c>
      <c r="H52" s="91" t="s">
        <v>157</v>
      </c>
      <c r="I52" s="92" t="s">
        <v>157</v>
      </c>
      <c r="J52" s="93"/>
      <c r="K52" s="94"/>
      <c r="L52" s="94"/>
      <c r="M52" s="95"/>
      <c r="N52" s="96"/>
    </row>
    <row r="53" spans="1:14" ht="18" customHeight="1" x14ac:dyDescent="0.25">
      <c r="A53" s="30" t="s">
        <v>202</v>
      </c>
      <c r="B53" s="30" t="s">
        <v>146</v>
      </c>
      <c r="C53" s="31">
        <v>36.5</v>
      </c>
      <c r="D53" s="76"/>
      <c r="E53" s="76"/>
      <c r="F53" s="84" t="str">
        <f>IF(AND(D53&lt;&gt;"",E53&lt;&gt;""),E53-D53,"")</f>
        <v/>
      </c>
      <c r="G53" s="84">
        <v>82.3</v>
      </c>
      <c r="H53" s="85" t="str">
        <f>IF(F53&lt;&gt;"",G53-F53,"")</f>
        <v/>
      </c>
      <c r="I53" s="79" t="str">
        <f>IF(AND(F53&lt;&gt;"",G53&gt;0),(G53-F53)/G53,"")</f>
        <v/>
      </c>
      <c r="J53" s="80"/>
      <c r="K53" s="81"/>
      <c r="L53" s="81"/>
      <c r="M53" s="86"/>
      <c r="N53" s="87"/>
    </row>
    <row r="54" spans="1:14" ht="18" customHeight="1" x14ac:dyDescent="0.25">
      <c r="A54" s="21" t="s">
        <v>203</v>
      </c>
      <c r="B54" s="21" t="s">
        <v>148</v>
      </c>
      <c r="C54" s="75">
        <v>37.200000000000003</v>
      </c>
      <c r="D54" s="76"/>
      <c r="E54" s="76"/>
      <c r="F54" s="77" t="str">
        <f>IF(AND(D54&lt;&gt;"",E54&lt;&gt;""),E54-D54,"")</f>
        <v/>
      </c>
      <c r="G54" s="77">
        <v>82.3</v>
      </c>
      <c r="H54" s="78" t="str">
        <f>IF(F54&lt;&gt;"",G54-F54,"")</f>
        <v/>
      </c>
      <c r="I54" s="79" t="str">
        <f>IF(AND(F54&lt;&gt;"",G54&gt;0),(G54-F54)/G54,"")</f>
        <v/>
      </c>
      <c r="J54" s="80"/>
      <c r="K54" s="81"/>
      <c r="L54" s="81"/>
      <c r="M54" s="82"/>
      <c r="N54" s="83"/>
    </row>
    <row r="55" spans="1:14" ht="18" customHeight="1" x14ac:dyDescent="0.25">
      <c r="A55" s="30" t="s">
        <v>204</v>
      </c>
      <c r="B55" s="30" t="s">
        <v>150</v>
      </c>
      <c r="C55" s="31">
        <v>36.799999999999997</v>
      </c>
      <c r="D55" s="76"/>
      <c r="E55" s="76"/>
      <c r="F55" s="84" t="str">
        <f>IF(AND(D55&lt;&gt;"",E55&lt;&gt;""),E55-D55,"")</f>
        <v/>
      </c>
      <c r="G55" s="84">
        <v>82.3</v>
      </c>
      <c r="H55" s="85" t="str">
        <f>IF(F55&lt;&gt;"",G55-F55,"")</f>
        <v/>
      </c>
      <c r="I55" s="79" t="str">
        <f>IF(AND(F55&lt;&gt;"",G55&gt;0),(G55-F55)/G55,"")</f>
        <v/>
      </c>
      <c r="J55" s="80"/>
      <c r="K55" s="81"/>
      <c r="L55" s="81"/>
      <c r="M55" s="86"/>
      <c r="N55" s="87"/>
    </row>
    <row r="56" spans="1:14" ht="18" customHeight="1" x14ac:dyDescent="0.25">
      <c r="A56" s="21" t="s">
        <v>205</v>
      </c>
      <c r="B56" s="21" t="s">
        <v>152</v>
      </c>
      <c r="C56" s="75">
        <v>36.5</v>
      </c>
      <c r="D56" s="76"/>
      <c r="E56" s="76"/>
      <c r="F56" s="77" t="str">
        <f>IF(AND(D56&lt;&gt;"",E56&lt;&gt;""),E56-D56,"")</f>
        <v/>
      </c>
      <c r="G56" s="77">
        <v>82.3</v>
      </c>
      <c r="H56" s="78" t="str">
        <f>IF(F56&lt;&gt;"",G56-F56,"")</f>
        <v/>
      </c>
      <c r="I56" s="79" t="str">
        <f>IF(AND(F56&lt;&gt;"",G56&gt;0),(G56-F56)/G56,"")</f>
        <v/>
      </c>
      <c r="J56" s="80"/>
      <c r="K56" s="81"/>
      <c r="L56" s="81"/>
      <c r="M56" s="82"/>
      <c r="N56" s="83"/>
    </row>
    <row r="57" spans="1:14" ht="18" customHeight="1" x14ac:dyDescent="0.25">
      <c r="A57" s="30" t="s">
        <v>206</v>
      </c>
      <c r="B57" s="30" t="s">
        <v>154</v>
      </c>
      <c r="C57" s="31">
        <v>36</v>
      </c>
      <c r="D57" s="76"/>
      <c r="E57" s="76"/>
      <c r="F57" s="84" t="str">
        <f>IF(AND(D57&lt;&gt;"",E57&lt;&gt;""),E57-D57,"")</f>
        <v/>
      </c>
      <c r="G57" s="84">
        <v>82.3</v>
      </c>
      <c r="H57" s="85" t="str">
        <f>IF(F57&lt;&gt;"",G57-F57,"")</f>
        <v/>
      </c>
      <c r="I57" s="79" t="str">
        <f>IF(AND(F57&lt;&gt;"",G57&gt;0),(G57-F57)/G57,"")</f>
        <v/>
      </c>
      <c r="J57" s="80"/>
      <c r="K57" s="81"/>
      <c r="L57" s="81"/>
      <c r="M57" s="86"/>
      <c r="N57" s="87"/>
    </row>
    <row r="58" spans="1:14" ht="18" customHeight="1" x14ac:dyDescent="0.25">
      <c r="A58" s="33" t="s">
        <v>207</v>
      </c>
      <c r="B58" s="88" t="s">
        <v>156</v>
      </c>
      <c r="C58" s="89"/>
      <c r="D58" s="76"/>
      <c r="E58" s="76"/>
      <c r="F58" s="90" t="s">
        <v>157</v>
      </c>
      <c r="G58" s="90" t="s">
        <v>157</v>
      </c>
      <c r="H58" s="91" t="s">
        <v>157</v>
      </c>
      <c r="I58" s="92" t="s">
        <v>157</v>
      </c>
      <c r="J58" s="93"/>
      <c r="K58" s="94"/>
      <c r="L58" s="94"/>
      <c r="M58" s="95"/>
      <c r="N58" s="96"/>
    </row>
    <row r="59" spans="1:14" ht="18" customHeight="1" x14ac:dyDescent="0.25">
      <c r="A59" s="33" t="s">
        <v>208</v>
      </c>
      <c r="B59" s="88" t="s">
        <v>159</v>
      </c>
      <c r="C59" s="89"/>
      <c r="D59" s="76"/>
      <c r="E59" s="76"/>
      <c r="F59" s="90" t="s">
        <v>157</v>
      </c>
      <c r="G59" s="90" t="s">
        <v>157</v>
      </c>
      <c r="H59" s="91" t="s">
        <v>157</v>
      </c>
      <c r="I59" s="92" t="s">
        <v>157</v>
      </c>
      <c r="J59" s="93"/>
      <c r="K59" s="94"/>
      <c r="L59" s="94"/>
      <c r="M59" s="95"/>
      <c r="N59" s="96"/>
    </row>
    <row r="60" spans="1:14" ht="18" customHeight="1" x14ac:dyDescent="0.25">
      <c r="A60" s="21" t="s">
        <v>209</v>
      </c>
      <c r="B60" s="21" t="s">
        <v>146</v>
      </c>
      <c r="C60" s="75">
        <v>36.200000000000003</v>
      </c>
      <c r="D60" s="76"/>
      <c r="E60" s="76"/>
      <c r="F60" s="77" t="str">
        <f>IF(AND(D60&lt;&gt;"",E60&lt;&gt;""),E60-D60,"")</f>
        <v/>
      </c>
      <c r="G60" s="77">
        <v>82.3</v>
      </c>
      <c r="H60" s="78" t="str">
        <f>IF(F60&lt;&gt;"",G60-F60,"")</f>
        <v/>
      </c>
      <c r="I60" s="79" t="str">
        <f>IF(AND(F60&lt;&gt;"",G60&gt;0),(G60-F60)/G60,"")</f>
        <v/>
      </c>
      <c r="J60" s="80"/>
      <c r="K60" s="81"/>
      <c r="L60" s="81"/>
      <c r="M60" s="82"/>
      <c r="N60" s="83"/>
    </row>
    <row r="61" spans="1:14" ht="18" customHeight="1" x14ac:dyDescent="0.25">
      <c r="A61" s="30" t="s">
        <v>210</v>
      </c>
      <c r="B61" s="30" t="s">
        <v>148</v>
      </c>
      <c r="C61" s="31">
        <v>35.799999999999997</v>
      </c>
      <c r="D61" s="76"/>
      <c r="E61" s="76"/>
      <c r="F61" s="84" t="str">
        <f>IF(AND(D61&lt;&gt;"",E61&lt;&gt;""),E61-D61,"")</f>
        <v/>
      </c>
      <c r="G61" s="84">
        <v>82.3</v>
      </c>
      <c r="H61" s="85" t="str">
        <f>IF(F61&lt;&gt;"",G61-F61,"")</f>
        <v/>
      </c>
      <c r="I61" s="79" t="str">
        <f>IF(AND(F61&lt;&gt;"",G61&gt;0),(G61-F61)/G61,"")</f>
        <v/>
      </c>
      <c r="J61" s="80"/>
      <c r="K61" s="81"/>
      <c r="L61" s="81"/>
      <c r="M61" s="86"/>
      <c r="N61" s="87"/>
    </row>
    <row r="62" spans="1:14" ht="18" customHeight="1" x14ac:dyDescent="0.25">
      <c r="A62" s="21" t="s">
        <v>211</v>
      </c>
      <c r="B62" s="21" t="s">
        <v>150</v>
      </c>
      <c r="C62" s="75">
        <v>35.5</v>
      </c>
      <c r="D62" s="76"/>
      <c r="E62" s="76"/>
      <c r="F62" s="77" t="str">
        <f>IF(AND(D62&lt;&gt;"",E62&lt;&gt;""),E62-D62,"")</f>
        <v/>
      </c>
      <c r="G62" s="77">
        <v>82.3</v>
      </c>
      <c r="H62" s="78" t="str">
        <f>IF(F62&lt;&gt;"",G62-F62,"")</f>
        <v/>
      </c>
      <c r="I62" s="79" t="str">
        <f>IF(AND(F62&lt;&gt;"",G62&gt;0),(G62-F62)/G62,"")</f>
        <v/>
      </c>
      <c r="J62" s="80"/>
      <c r="K62" s="81"/>
      <c r="L62" s="81"/>
      <c r="M62" s="82"/>
      <c r="N62" s="83"/>
    </row>
    <row r="63" spans="1:14" ht="18" customHeight="1" x14ac:dyDescent="0.25">
      <c r="A63" s="30" t="s">
        <v>212</v>
      </c>
      <c r="B63" s="30" t="s">
        <v>152</v>
      </c>
      <c r="C63" s="31">
        <v>35.200000000000003</v>
      </c>
      <c r="D63" s="76"/>
      <c r="E63" s="76"/>
      <c r="F63" s="84" t="str">
        <f>IF(AND(D63&lt;&gt;"",E63&lt;&gt;""),E63-D63,"")</f>
        <v/>
      </c>
      <c r="G63" s="84">
        <v>82.3</v>
      </c>
      <c r="H63" s="85" t="str">
        <f>IF(F63&lt;&gt;"",G63-F63,"")</f>
        <v/>
      </c>
      <c r="I63" s="79" t="str">
        <f>IF(AND(F63&lt;&gt;"",G63&gt;0),(G63-F63)/G63,"")</f>
        <v/>
      </c>
      <c r="J63" s="80"/>
      <c r="K63" s="81"/>
      <c r="L63" s="81"/>
      <c r="M63" s="86"/>
      <c r="N63" s="87"/>
    </row>
    <row r="64" spans="1:14" ht="18" customHeight="1" x14ac:dyDescent="0.25">
      <c r="A64" s="21" t="s">
        <v>213</v>
      </c>
      <c r="B64" s="21" t="s">
        <v>154</v>
      </c>
      <c r="C64" s="75">
        <v>35</v>
      </c>
      <c r="D64" s="76"/>
      <c r="E64" s="76"/>
      <c r="F64" s="77" t="str">
        <f>IF(AND(D64&lt;&gt;"",E64&lt;&gt;""),E64-D64,"")</f>
        <v/>
      </c>
      <c r="G64" s="77">
        <v>82.3</v>
      </c>
      <c r="H64" s="78" t="str">
        <f>IF(F64&lt;&gt;"",G64-F64,"")</f>
        <v/>
      </c>
      <c r="I64" s="79" t="str">
        <f>IF(AND(F64&lt;&gt;"",G64&gt;0),(G64-F64)/G64,"")</f>
        <v/>
      </c>
      <c r="J64" s="80"/>
      <c r="K64" s="81"/>
      <c r="L64" s="81"/>
      <c r="M64" s="82"/>
      <c r="N64" s="83"/>
    </row>
    <row r="65" spans="1:14" ht="18" customHeight="1" x14ac:dyDescent="0.25">
      <c r="A65" s="33" t="s">
        <v>214</v>
      </c>
      <c r="B65" s="88" t="s">
        <v>156</v>
      </c>
      <c r="C65" s="89"/>
      <c r="D65" s="76"/>
      <c r="E65" s="76"/>
      <c r="F65" s="90" t="s">
        <v>157</v>
      </c>
      <c r="G65" s="90" t="s">
        <v>157</v>
      </c>
      <c r="H65" s="91" t="s">
        <v>157</v>
      </c>
      <c r="I65" s="92" t="s">
        <v>157</v>
      </c>
      <c r="J65" s="93"/>
      <c r="K65" s="94"/>
      <c r="L65" s="94"/>
      <c r="M65" s="95"/>
      <c r="N65" s="96"/>
    </row>
    <row r="66" spans="1:14" ht="18" customHeight="1" x14ac:dyDescent="0.25">
      <c r="A66" s="33" t="s">
        <v>215</v>
      </c>
      <c r="B66" s="88" t="s">
        <v>159</v>
      </c>
      <c r="C66" s="89"/>
      <c r="D66" s="76"/>
      <c r="E66" s="76"/>
      <c r="F66" s="90" t="s">
        <v>157</v>
      </c>
      <c r="G66" s="90" t="s">
        <v>157</v>
      </c>
      <c r="H66" s="91" t="s">
        <v>157</v>
      </c>
      <c r="I66" s="92" t="s">
        <v>157</v>
      </c>
      <c r="J66" s="93"/>
      <c r="K66" s="94"/>
      <c r="L66" s="94"/>
      <c r="M66" s="95"/>
      <c r="N66" s="96"/>
    </row>
    <row r="67" spans="1:14" ht="18" customHeight="1" x14ac:dyDescent="0.25">
      <c r="A67" s="30" t="s">
        <v>216</v>
      </c>
      <c r="B67" s="30" t="s">
        <v>146</v>
      </c>
      <c r="C67" s="31">
        <v>34.799999999999997</v>
      </c>
      <c r="D67" s="76"/>
      <c r="E67" s="76"/>
      <c r="F67" s="84" t="str">
        <f>IF(AND(D67&lt;&gt;"",E67&lt;&gt;""),E67-D67,"")</f>
        <v/>
      </c>
      <c r="G67" s="84">
        <v>82.3</v>
      </c>
      <c r="H67" s="85" t="str">
        <f>IF(F67&lt;&gt;"",G67-F67,"")</f>
        <v/>
      </c>
      <c r="I67" s="79" t="str">
        <f>IF(AND(F67&lt;&gt;"",G67&gt;0),(G67-F67)/G67,"")</f>
        <v/>
      </c>
      <c r="J67" s="80"/>
      <c r="K67" s="81"/>
      <c r="L67" s="81"/>
      <c r="M67" s="86"/>
      <c r="N67" s="87"/>
    </row>
    <row r="68" spans="1:14" ht="18" customHeight="1" x14ac:dyDescent="0.25">
      <c r="A68" s="21" t="s">
        <v>217</v>
      </c>
      <c r="B68" s="21" t="s">
        <v>148</v>
      </c>
      <c r="C68" s="75">
        <v>35.5</v>
      </c>
      <c r="D68" s="76"/>
      <c r="E68" s="76"/>
      <c r="F68" s="77" t="str">
        <f>IF(AND(D68&lt;&gt;"",E68&lt;&gt;""),E68-D68,"")</f>
        <v/>
      </c>
      <c r="G68" s="77">
        <v>82.3</v>
      </c>
      <c r="H68" s="78" t="str">
        <f>IF(F68&lt;&gt;"",G68-F68,"")</f>
        <v/>
      </c>
      <c r="I68" s="79" t="str">
        <f>IF(AND(F68&lt;&gt;"",G68&gt;0),(G68-F68)/G68,"")</f>
        <v/>
      </c>
      <c r="J68" s="80"/>
      <c r="K68" s="81"/>
      <c r="L68" s="81"/>
      <c r="M68" s="82"/>
      <c r="N68" s="83"/>
    </row>
    <row r="69" spans="1:14" ht="18" customHeight="1" x14ac:dyDescent="0.25">
      <c r="A69" s="30" t="s">
        <v>218</v>
      </c>
      <c r="B69" s="30" t="s">
        <v>150</v>
      </c>
      <c r="C69" s="31">
        <v>35.200000000000003</v>
      </c>
      <c r="D69" s="76"/>
      <c r="E69" s="76"/>
      <c r="F69" s="84" t="str">
        <f>IF(AND(D69&lt;&gt;"",E69&lt;&gt;""),E69-D69,"")</f>
        <v/>
      </c>
      <c r="G69" s="84">
        <v>82.3</v>
      </c>
      <c r="H69" s="85" t="str">
        <f>IF(F69&lt;&gt;"",G69-F69,"")</f>
        <v/>
      </c>
      <c r="I69" s="79" t="str">
        <f>IF(AND(F69&lt;&gt;"",G69&gt;0),(G69-F69)/G69,"")</f>
        <v/>
      </c>
      <c r="J69" s="80"/>
      <c r="K69" s="81"/>
      <c r="L69" s="81"/>
      <c r="M69" s="86"/>
      <c r="N69" s="87"/>
    </row>
    <row r="70" spans="1:14" ht="18" customHeight="1" x14ac:dyDescent="0.25">
      <c r="A70" s="21" t="s">
        <v>219</v>
      </c>
      <c r="B70" s="21" t="s">
        <v>152</v>
      </c>
      <c r="C70" s="75">
        <v>35</v>
      </c>
      <c r="D70" s="76"/>
      <c r="E70" s="76"/>
      <c r="F70" s="77" t="str">
        <f>IF(AND(D70&lt;&gt;"",E70&lt;&gt;""),E70-D70,"")</f>
        <v/>
      </c>
      <c r="G70" s="77">
        <v>82.3</v>
      </c>
      <c r="H70" s="78" t="str">
        <f>IF(F70&lt;&gt;"",G70-F70,"")</f>
        <v/>
      </c>
      <c r="I70" s="79" t="str">
        <f>IF(AND(F70&lt;&gt;"",G70&gt;0),(G70-F70)/G70,"")</f>
        <v/>
      </c>
      <c r="J70" s="80"/>
      <c r="K70" s="81"/>
      <c r="L70" s="81"/>
      <c r="M70" s="82"/>
      <c r="N70" s="83"/>
    </row>
    <row r="71" spans="1:14" ht="18" customHeight="1" x14ac:dyDescent="0.25">
      <c r="A71" s="30" t="s">
        <v>220</v>
      </c>
      <c r="B71" s="30" t="s">
        <v>154</v>
      </c>
      <c r="C71" s="31">
        <v>34.5</v>
      </c>
      <c r="D71" s="76"/>
      <c r="E71" s="76"/>
      <c r="F71" s="84" t="str">
        <f>IF(AND(D71&lt;&gt;"",E71&lt;&gt;""),E71-D71,"")</f>
        <v/>
      </c>
      <c r="G71" s="84">
        <v>82.3</v>
      </c>
      <c r="H71" s="85" t="str">
        <f>IF(F71&lt;&gt;"",G71-F71,"")</f>
        <v/>
      </c>
      <c r="I71" s="79" t="str">
        <f>IF(AND(F71&lt;&gt;"",G71&gt;0),(G71-F71)/G71,"")</f>
        <v/>
      </c>
      <c r="J71" s="80"/>
      <c r="K71" s="81"/>
      <c r="L71" s="81"/>
      <c r="M71" s="86"/>
      <c r="N71" s="87"/>
    </row>
    <row r="72" spans="1:14" ht="18" customHeight="1" x14ac:dyDescent="0.25">
      <c r="A72" s="33" t="s">
        <v>221</v>
      </c>
      <c r="B72" s="88" t="s">
        <v>156</v>
      </c>
      <c r="C72" s="89"/>
      <c r="D72" s="76"/>
      <c r="E72" s="76"/>
      <c r="F72" s="90" t="s">
        <v>157</v>
      </c>
      <c r="G72" s="90" t="s">
        <v>157</v>
      </c>
      <c r="H72" s="91" t="s">
        <v>157</v>
      </c>
      <c r="I72" s="92" t="s">
        <v>157</v>
      </c>
      <c r="J72" s="93"/>
      <c r="K72" s="94"/>
      <c r="L72" s="94"/>
      <c r="M72" s="95"/>
      <c r="N72" s="96"/>
    </row>
    <row r="73" spans="1:14" ht="18" customHeight="1" x14ac:dyDescent="0.25">
      <c r="A73" s="33" t="s">
        <v>222</v>
      </c>
      <c r="B73" s="88" t="s">
        <v>159</v>
      </c>
      <c r="C73" s="89"/>
      <c r="D73" s="76"/>
      <c r="E73" s="76"/>
      <c r="F73" s="90" t="s">
        <v>157</v>
      </c>
      <c r="G73" s="90" t="s">
        <v>157</v>
      </c>
      <c r="H73" s="91" t="s">
        <v>157</v>
      </c>
      <c r="I73" s="92" t="s">
        <v>157</v>
      </c>
      <c r="J73" s="93"/>
      <c r="K73" s="94"/>
      <c r="L73" s="94"/>
      <c r="M73" s="95"/>
      <c r="N73" s="96"/>
    </row>
    <row r="74" spans="1:14" ht="18" customHeight="1" x14ac:dyDescent="0.25">
      <c r="A74" s="21" t="s">
        <v>223</v>
      </c>
      <c r="B74" s="21" t="s">
        <v>146</v>
      </c>
      <c r="C74" s="75">
        <v>34.200000000000003</v>
      </c>
      <c r="D74" s="76"/>
      <c r="E74" s="76"/>
      <c r="F74" s="77" t="str">
        <f>IF(AND(D74&lt;&gt;"",E74&lt;&gt;""),E74-D74,"")</f>
        <v/>
      </c>
      <c r="G74" s="77">
        <v>82.3</v>
      </c>
      <c r="H74" s="78" t="str">
        <f>IF(F74&lt;&gt;"",G74-F74,"")</f>
        <v/>
      </c>
      <c r="I74" s="79" t="str">
        <f>IF(AND(F74&lt;&gt;"",G74&gt;0),(G74-F74)/G74,"")</f>
        <v/>
      </c>
      <c r="J74" s="80"/>
      <c r="K74" s="81"/>
      <c r="L74" s="81"/>
      <c r="M74" s="82"/>
      <c r="N74" s="83"/>
    </row>
    <row r="75" spans="1:14" ht="18" customHeight="1" x14ac:dyDescent="0.25">
      <c r="A75" s="30" t="s">
        <v>224</v>
      </c>
      <c r="B75" s="30" t="s">
        <v>148</v>
      </c>
      <c r="C75" s="31">
        <v>34.799999999999997</v>
      </c>
      <c r="D75" s="76"/>
      <c r="E75" s="76"/>
      <c r="F75" s="84" t="str">
        <f>IF(AND(D75&lt;&gt;"",E75&lt;&gt;""),E75-D75,"")</f>
        <v/>
      </c>
      <c r="G75" s="84">
        <v>82.3</v>
      </c>
      <c r="H75" s="85" t="str">
        <f>IF(F75&lt;&gt;"",G75-F75,"")</f>
        <v/>
      </c>
      <c r="I75" s="79" t="str">
        <f>IF(AND(F75&lt;&gt;"",G75&gt;0),(G75-F75)/G75,"")</f>
        <v/>
      </c>
      <c r="J75" s="80"/>
      <c r="K75" s="81"/>
      <c r="L75" s="81"/>
      <c r="M75" s="86"/>
      <c r="N75" s="87"/>
    </row>
    <row r="76" spans="1:14" ht="18" customHeight="1" x14ac:dyDescent="0.25">
      <c r="A76" s="21" t="s">
        <v>225</v>
      </c>
      <c r="B76" s="21" t="s">
        <v>150</v>
      </c>
      <c r="C76" s="75">
        <v>34.5</v>
      </c>
      <c r="D76" s="76"/>
      <c r="E76" s="76"/>
      <c r="F76" s="77" t="str">
        <f>IF(AND(D76&lt;&gt;"",E76&lt;&gt;""),E76-D76,"")</f>
        <v/>
      </c>
      <c r="G76" s="77">
        <v>82.3</v>
      </c>
      <c r="H76" s="78" t="str">
        <f>IF(F76&lt;&gt;"",G76-F76,"")</f>
        <v/>
      </c>
      <c r="I76" s="79" t="str">
        <f>IF(AND(F76&lt;&gt;"",G76&gt;0),(G76-F76)/G76,"")</f>
        <v/>
      </c>
      <c r="J76" s="80"/>
      <c r="K76" s="81"/>
      <c r="L76" s="81"/>
      <c r="M76" s="82"/>
      <c r="N76" s="83"/>
    </row>
    <row r="77" spans="1:14" ht="18" customHeight="1" x14ac:dyDescent="0.25">
      <c r="A77" s="30" t="s">
        <v>226</v>
      </c>
      <c r="B77" s="30" t="s">
        <v>152</v>
      </c>
      <c r="C77" s="31">
        <v>34</v>
      </c>
      <c r="D77" s="76"/>
      <c r="E77" s="76"/>
      <c r="F77" s="84" t="str">
        <f>IF(AND(D77&lt;&gt;"",E77&lt;&gt;""),E77-D77,"")</f>
        <v/>
      </c>
      <c r="G77" s="84">
        <v>82.3</v>
      </c>
      <c r="H77" s="85" t="str">
        <f>IF(F77&lt;&gt;"",G77-F77,"")</f>
        <v/>
      </c>
      <c r="I77" s="79" t="str">
        <f>IF(AND(F77&lt;&gt;"",G77&gt;0),(G77-F77)/G77,"")</f>
        <v/>
      </c>
      <c r="J77" s="80"/>
      <c r="K77" s="81"/>
      <c r="L77" s="81"/>
      <c r="M77" s="86"/>
      <c r="N77" s="87"/>
    </row>
    <row r="78" spans="1:14" ht="18" customHeight="1" x14ac:dyDescent="0.25">
      <c r="A78" s="21" t="s">
        <v>227</v>
      </c>
      <c r="B78" s="21" t="s">
        <v>154</v>
      </c>
      <c r="C78" s="75">
        <v>33.799999999999997</v>
      </c>
      <c r="D78" s="76"/>
      <c r="E78" s="76"/>
      <c r="F78" s="77" t="str">
        <f>IF(AND(D78&lt;&gt;"",E78&lt;&gt;""),E78-D78,"")</f>
        <v/>
      </c>
      <c r="G78" s="77">
        <v>82.3</v>
      </c>
      <c r="H78" s="78" t="str">
        <f>IF(F78&lt;&gt;"",G78-F78,"")</f>
        <v/>
      </c>
      <c r="I78" s="79" t="str">
        <f>IF(AND(F78&lt;&gt;"",G78&gt;0),(G78-F78)/G78,"")</f>
        <v/>
      </c>
      <c r="J78" s="80"/>
      <c r="K78" s="81"/>
      <c r="L78" s="81"/>
      <c r="M78" s="82"/>
      <c r="N78" s="83"/>
    </row>
    <row r="79" spans="1:14" ht="18" customHeight="1" x14ac:dyDescent="0.25">
      <c r="A79" s="33" t="s">
        <v>228</v>
      </c>
      <c r="B79" s="88" t="s">
        <v>156</v>
      </c>
      <c r="C79" s="89"/>
      <c r="D79" s="76"/>
      <c r="E79" s="76"/>
      <c r="F79" s="90" t="s">
        <v>157</v>
      </c>
      <c r="G79" s="90" t="s">
        <v>157</v>
      </c>
      <c r="H79" s="91" t="s">
        <v>157</v>
      </c>
      <c r="I79" s="92" t="s">
        <v>157</v>
      </c>
      <c r="J79" s="93"/>
      <c r="K79" s="94"/>
      <c r="L79" s="94"/>
      <c r="M79" s="95"/>
      <c r="N79" s="96"/>
    </row>
    <row r="80" spans="1:14" ht="18" customHeight="1" x14ac:dyDescent="0.25">
      <c r="A80" s="33" t="s">
        <v>229</v>
      </c>
      <c r="B80" s="88" t="s">
        <v>159</v>
      </c>
      <c r="C80" s="89"/>
      <c r="D80" s="76"/>
      <c r="E80" s="76"/>
      <c r="F80" s="90" t="s">
        <v>157</v>
      </c>
      <c r="G80" s="90" t="s">
        <v>157</v>
      </c>
      <c r="H80" s="91" t="s">
        <v>157</v>
      </c>
      <c r="I80" s="92" t="s">
        <v>157</v>
      </c>
      <c r="J80" s="93"/>
      <c r="K80" s="94"/>
      <c r="L80" s="94"/>
      <c r="M80" s="95"/>
      <c r="N80" s="96"/>
    </row>
    <row r="81" spans="1:14" ht="18" customHeight="1" x14ac:dyDescent="0.25">
      <c r="A81" s="30" t="s">
        <v>230</v>
      </c>
      <c r="B81" s="30" t="s">
        <v>146</v>
      </c>
      <c r="C81" s="31">
        <v>34</v>
      </c>
      <c r="D81" s="76"/>
      <c r="E81" s="76"/>
      <c r="F81" s="84" t="str">
        <f>IF(AND(D81&lt;&gt;"",E81&lt;&gt;""),E81-D81,"")</f>
        <v/>
      </c>
      <c r="G81" s="84">
        <v>82.3</v>
      </c>
      <c r="H81" s="85" t="str">
        <f>IF(F81&lt;&gt;"",G81-F81,"")</f>
        <v/>
      </c>
      <c r="I81" s="79" t="str">
        <f>IF(AND(F81&lt;&gt;"",G81&gt;0),(G81-F81)/G81,"")</f>
        <v/>
      </c>
      <c r="J81" s="80"/>
      <c r="K81" s="81"/>
      <c r="L81" s="81"/>
      <c r="M81" s="86"/>
      <c r="N81" s="87"/>
    </row>
    <row r="82" spans="1:14" ht="18" customHeight="1" x14ac:dyDescent="0.25">
      <c r="A82" s="21" t="s">
        <v>231</v>
      </c>
      <c r="B82" s="21" t="s">
        <v>148</v>
      </c>
      <c r="C82" s="75">
        <v>34.5</v>
      </c>
      <c r="D82" s="76"/>
      <c r="E82" s="76"/>
      <c r="F82" s="77" t="str">
        <f>IF(AND(D82&lt;&gt;"",E82&lt;&gt;""),E82-D82,"")</f>
        <v/>
      </c>
      <c r="G82" s="77">
        <v>82.3</v>
      </c>
      <c r="H82" s="78" t="str">
        <f>IF(F82&lt;&gt;"",G82-F82,"")</f>
        <v/>
      </c>
      <c r="I82" s="79" t="str">
        <f>IF(AND(F82&lt;&gt;"",G82&gt;0),(G82-F82)/G82,"")</f>
        <v/>
      </c>
      <c r="J82" s="80"/>
      <c r="K82" s="81"/>
      <c r="L82" s="81"/>
      <c r="M82" s="82"/>
      <c r="N82" s="83"/>
    </row>
    <row r="83" spans="1:14" ht="18" customHeight="1" x14ac:dyDescent="0.25">
      <c r="A83" s="30" t="s">
        <v>232</v>
      </c>
      <c r="B83" s="30" t="s">
        <v>150</v>
      </c>
      <c r="C83" s="31">
        <v>33.799999999999997</v>
      </c>
      <c r="D83" s="76"/>
      <c r="E83" s="76"/>
      <c r="F83" s="84" t="str">
        <f>IF(AND(D83&lt;&gt;"",E83&lt;&gt;""),E83-D83,"")</f>
        <v/>
      </c>
      <c r="G83" s="84">
        <v>82.3</v>
      </c>
      <c r="H83" s="85" t="str">
        <f>IF(F83&lt;&gt;"",G83-F83,"")</f>
        <v/>
      </c>
      <c r="I83" s="79" t="str">
        <f>IF(AND(F83&lt;&gt;"",G83&gt;0),(G83-F83)/G83,"")</f>
        <v/>
      </c>
      <c r="J83" s="80"/>
      <c r="K83" s="81"/>
      <c r="L83" s="81"/>
      <c r="M83" s="86"/>
      <c r="N83" s="87"/>
    </row>
    <row r="84" spans="1:14" ht="18" customHeight="1" x14ac:dyDescent="0.25">
      <c r="A84" s="21" t="s">
        <v>233</v>
      </c>
      <c r="B84" s="21" t="s">
        <v>152</v>
      </c>
      <c r="C84" s="75">
        <v>33.5</v>
      </c>
      <c r="D84" s="76"/>
      <c r="E84" s="76"/>
      <c r="F84" s="77" t="str">
        <f>IF(AND(D84&lt;&gt;"",E84&lt;&gt;""),E84-D84,"")</f>
        <v/>
      </c>
      <c r="G84" s="77">
        <v>82.3</v>
      </c>
      <c r="H84" s="78" t="str">
        <f>IF(F84&lt;&gt;"",G84-F84,"")</f>
        <v/>
      </c>
      <c r="I84" s="79" t="str">
        <f>IF(AND(F84&lt;&gt;"",G84&gt;0),(G84-F84)/G84,"")</f>
        <v/>
      </c>
      <c r="J84" s="80"/>
      <c r="K84" s="81"/>
      <c r="L84" s="81"/>
      <c r="M84" s="82"/>
      <c r="N84" s="83"/>
    </row>
    <row r="85" spans="1:14" ht="18" customHeight="1" x14ac:dyDescent="0.25">
      <c r="A85" s="30" t="s">
        <v>234</v>
      </c>
      <c r="B85" s="30" t="s">
        <v>154</v>
      </c>
      <c r="C85" s="31">
        <v>33.200000000000003</v>
      </c>
      <c r="D85" s="76"/>
      <c r="E85" s="76"/>
      <c r="F85" s="84" t="str">
        <f>IF(AND(D85&lt;&gt;"",E85&lt;&gt;""),E85-D85,"")</f>
        <v/>
      </c>
      <c r="G85" s="84">
        <v>82.3</v>
      </c>
      <c r="H85" s="85" t="str">
        <f>IF(F85&lt;&gt;"",G85-F85,"")</f>
        <v/>
      </c>
      <c r="I85" s="79" t="str">
        <f>IF(AND(F85&lt;&gt;"",G85&gt;0),(G85-F85)/G85,"")</f>
        <v/>
      </c>
      <c r="J85" s="80"/>
      <c r="K85" s="81"/>
      <c r="L85" s="81"/>
      <c r="M85" s="86"/>
      <c r="N85" s="87"/>
    </row>
    <row r="86" spans="1:14" ht="18" customHeight="1" x14ac:dyDescent="0.25">
      <c r="A86" s="33" t="s">
        <v>235</v>
      </c>
      <c r="B86" s="88" t="s">
        <v>156</v>
      </c>
      <c r="C86" s="89"/>
      <c r="D86" s="76"/>
      <c r="E86" s="76"/>
      <c r="F86" s="90" t="s">
        <v>157</v>
      </c>
      <c r="G86" s="90" t="s">
        <v>157</v>
      </c>
      <c r="H86" s="91" t="s">
        <v>157</v>
      </c>
      <c r="I86" s="92" t="s">
        <v>157</v>
      </c>
      <c r="J86" s="93"/>
      <c r="K86" s="94"/>
      <c r="L86" s="94"/>
      <c r="M86" s="95"/>
      <c r="N86" s="96"/>
    </row>
    <row r="87" spans="1:14" ht="18" customHeight="1" x14ac:dyDescent="0.25">
      <c r="A87" s="33" t="s">
        <v>236</v>
      </c>
      <c r="B87" s="88" t="s">
        <v>159</v>
      </c>
      <c r="C87" s="89"/>
      <c r="D87" s="76"/>
      <c r="E87" s="76"/>
      <c r="F87" s="90" t="s">
        <v>157</v>
      </c>
      <c r="G87" s="90" t="s">
        <v>157</v>
      </c>
      <c r="H87" s="91" t="s">
        <v>157</v>
      </c>
      <c r="I87" s="92" t="s">
        <v>157</v>
      </c>
      <c r="J87" s="93"/>
      <c r="K87" s="94"/>
      <c r="L87" s="94"/>
      <c r="M87" s="95"/>
      <c r="N87" s="96"/>
    </row>
    <row r="90" spans="1:14" ht="21.75" customHeight="1" x14ac:dyDescent="0.25">
      <c r="A90" s="130" t="s">
        <v>237</v>
      </c>
      <c r="B90" s="130"/>
      <c r="C90" s="97" t="s">
        <v>238</v>
      </c>
      <c r="D90" s="97" t="s">
        <v>239</v>
      </c>
      <c r="E90" s="97" t="s">
        <v>240</v>
      </c>
      <c r="F90" s="97" t="s">
        <v>139</v>
      </c>
      <c r="G90" s="97" t="s">
        <v>241</v>
      </c>
    </row>
  </sheetData>
  <mergeCells count="3">
    <mergeCell ref="A1:N1"/>
    <mergeCell ref="A2:N2"/>
    <mergeCell ref="A90:B90"/>
  </mergeCells>
  <pageMargins left="0.75" right="0.75" top="1" bottom="1" header="0.511811023622047" footer="0.511811023622047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H38"/>
  <sheetViews>
    <sheetView showGridLines="0" zoomScaleNormal="100" workbookViewId="0"/>
  </sheetViews>
  <sheetFormatPr defaultColWidth="8.7109375" defaultRowHeight="15" x14ac:dyDescent="0.25"/>
  <cols>
    <col min="1" max="1" width="5" customWidth="1"/>
    <col min="2" max="2" width="28" customWidth="1"/>
    <col min="3" max="4" width="10" customWidth="1"/>
    <col min="5" max="5" width="35" customWidth="1"/>
    <col min="6" max="6" width="15" customWidth="1"/>
    <col min="7" max="8" width="12" customWidth="1"/>
  </cols>
  <sheetData>
    <row r="1" spans="1:8" ht="27.75" customHeight="1" x14ac:dyDescent="0.25">
      <c r="A1" s="115" t="s">
        <v>242</v>
      </c>
      <c r="B1" s="115"/>
      <c r="C1" s="115"/>
      <c r="D1" s="115"/>
      <c r="E1" s="115"/>
      <c r="F1" s="115"/>
      <c r="G1" s="115"/>
      <c r="H1" s="115"/>
    </row>
    <row r="3" spans="1:8" ht="21.75" customHeight="1" x14ac:dyDescent="0.25">
      <c r="A3" s="131" t="s">
        <v>243</v>
      </c>
      <c r="B3" s="131"/>
      <c r="C3" s="131"/>
      <c r="D3" s="131"/>
      <c r="E3" s="131"/>
      <c r="F3" s="131"/>
      <c r="G3" s="131"/>
      <c r="H3" s="131"/>
    </row>
    <row r="4" spans="1:8" ht="30" customHeight="1" x14ac:dyDescent="0.25">
      <c r="A4" s="98" t="s">
        <v>244</v>
      </c>
      <c r="B4" s="132" t="s">
        <v>245</v>
      </c>
      <c r="C4" s="132"/>
      <c r="D4" s="132"/>
      <c r="E4" s="132" t="s">
        <v>246</v>
      </c>
      <c r="F4" s="132"/>
      <c r="G4" s="98" t="s">
        <v>247</v>
      </c>
      <c r="H4" s="98" t="s">
        <v>248</v>
      </c>
    </row>
    <row r="5" spans="1:8" ht="24" customHeight="1" x14ac:dyDescent="0.25">
      <c r="A5" s="34">
        <v>1</v>
      </c>
      <c r="B5" s="133" t="s">
        <v>249</v>
      </c>
      <c r="C5" s="133"/>
      <c r="D5" s="133"/>
      <c r="E5" s="134" t="s">
        <v>250</v>
      </c>
      <c r="F5" s="134"/>
      <c r="G5" s="99" t="s">
        <v>251</v>
      </c>
      <c r="H5" s="100"/>
    </row>
    <row r="6" spans="1:8" ht="24" customHeight="1" x14ac:dyDescent="0.25">
      <c r="A6" s="101">
        <v>2</v>
      </c>
      <c r="B6" s="135" t="s">
        <v>252</v>
      </c>
      <c r="C6" s="135"/>
      <c r="D6" s="135"/>
      <c r="E6" s="136" t="s">
        <v>253</v>
      </c>
      <c r="F6" s="136"/>
      <c r="G6" s="102" t="s">
        <v>251</v>
      </c>
      <c r="H6" s="100"/>
    </row>
    <row r="7" spans="1:8" ht="24" customHeight="1" x14ac:dyDescent="0.25">
      <c r="A7" s="34">
        <v>3</v>
      </c>
      <c r="B7" s="133" t="s">
        <v>254</v>
      </c>
      <c r="C7" s="133"/>
      <c r="D7" s="133"/>
      <c r="E7" s="134" t="s">
        <v>255</v>
      </c>
      <c r="F7" s="134"/>
      <c r="G7" s="99" t="s">
        <v>251</v>
      </c>
      <c r="H7" s="100"/>
    </row>
    <row r="8" spans="1:8" ht="24" customHeight="1" x14ac:dyDescent="0.25">
      <c r="A8" s="101">
        <v>4</v>
      </c>
      <c r="B8" s="135" t="s">
        <v>256</v>
      </c>
      <c r="C8" s="135"/>
      <c r="D8" s="135"/>
      <c r="E8" s="136" t="s">
        <v>257</v>
      </c>
      <c r="F8" s="136"/>
      <c r="G8" s="102" t="s">
        <v>251</v>
      </c>
      <c r="H8" s="100"/>
    </row>
    <row r="10" spans="1:8" ht="21.75" customHeight="1" x14ac:dyDescent="0.25">
      <c r="A10" s="131" t="s">
        <v>258</v>
      </c>
      <c r="B10" s="131"/>
      <c r="C10" s="131"/>
      <c r="D10" s="131"/>
      <c r="E10" s="131"/>
      <c r="F10" s="131"/>
      <c r="G10" s="131"/>
      <c r="H10" s="131"/>
    </row>
    <row r="11" spans="1:8" ht="30" customHeight="1" x14ac:dyDescent="0.25">
      <c r="A11" s="98" t="s">
        <v>244</v>
      </c>
      <c r="B11" s="132" t="s">
        <v>245</v>
      </c>
      <c r="C11" s="132"/>
      <c r="D11" s="132"/>
      <c r="E11" s="132" t="s">
        <v>246</v>
      </c>
      <c r="F11" s="132"/>
      <c r="G11" s="98" t="s">
        <v>247</v>
      </c>
      <c r="H11" s="98" t="s">
        <v>248</v>
      </c>
    </row>
    <row r="12" spans="1:8" ht="24" customHeight="1" x14ac:dyDescent="0.25">
      <c r="A12" s="34">
        <v>1</v>
      </c>
      <c r="B12" s="133" t="s">
        <v>259</v>
      </c>
      <c r="C12" s="133"/>
      <c r="D12" s="133"/>
      <c r="E12" s="134" t="s">
        <v>260</v>
      </c>
      <c r="F12" s="134"/>
      <c r="G12" s="99" t="s">
        <v>251</v>
      </c>
      <c r="H12" s="100"/>
    </row>
    <row r="13" spans="1:8" ht="24" customHeight="1" x14ac:dyDescent="0.25">
      <c r="A13" s="101">
        <v>2</v>
      </c>
      <c r="B13" s="135" t="s">
        <v>261</v>
      </c>
      <c r="C13" s="135"/>
      <c r="D13" s="135"/>
      <c r="E13" s="136" t="s">
        <v>262</v>
      </c>
      <c r="F13" s="136"/>
      <c r="G13" s="102" t="s">
        <v>251</v>
      </c>
      <c r="H13" s="100"/>
    </row>
    <row r="14" spans="1:8" ht="24" customHeight="1" x14ac:dyDescent="0.25">
      <c r="A14" s="34">
        <v>3</v>
      </c>
      <c r="B14" s="133" t="s">
        <v>263</v>
      </c>
      <c r="C14" s="133"/>
      <c r="D14" s="133"/>
      <c r="E14" s="134" t="s">
        <v>264</v>
      </c>
      <c r="F14" s="134"/>
      <c r="G14" s="99" t="s">
        <v>251</v>
      </c>
      <c r="H14" s="100"/>
    </row>
    <row r="16" spans="1:8" ht="21.75" customHeight="1" x14ac:dyDescent="0.25">
      <c r="A16" s="131" t="s">
        <v>265</v>
      </c>
      <c r="B16" s="131"/>
      <c r="C16" s="131"/>
      <c r="D16" s="131"/>
      <c r="E16" s="131"/>
      <c r="F16" s="131"/>
      <c r="G16" s="131"/>
      <c r="H16" s="131"/>
    </row>
    <row r="17" spans="1:8" ht="30" customHeight="1" x14ac:dyDescent="0.25">
      <c r="A17" s="98" t="s">
        <v>244</v>
      </c>
      <c r="B17" s="132" t="s">
        <v>245</v>
      </c>
      <c r="C17" s="132"/>
      <c r="D17" s="132"/>
      <c r="E17" s="132" t="s">
        <v>246</v>
      </c>
      <c r="F17" s="132"/>
      <c r="G17" s="98" t="s">
        <v>247</v>
      </c>
      <c r="H17" s="98" t="s">
        <v>248</v>
      </c>
    </row>
    <row r="18" spans="1:8" ht="24" customHeight="1" x14ac:dyDescent="0.25">
      <c r="A18" s="34">
        <v>1</v>
      </c>
      <c r="B18" s="133" t="s">
        <v>266</v>
      </c>
      <c r="C18" s="133"/>
      <c r="D18" s="133"/>
      <c r="E18" s="134" t="s">
        <v>267</v>
      </c>
      <c r="F18" s="134"/>
      <c r="G18" s="99" t="s">
        <v>251</v>
      </c>
      <c r="H18" s="100"/>
    </row>
    <row r="19" spans="1:8" ht="24" customHeight="1" x14ac:dyDescent="0.25">
      <c r="A19" s="101">
        <v>2</v>
      </c>
      <c r="B19" s="135" t="s">
        <v>268</v>
      </c>
      <c r="C19" s="135"/>
      <c r="D19" s="135"/>
      <c r="E19" s="136" t="s">
        <v>269</v>
      </c>
      <c r="F19" s="136"/>
      <c r="G19" s="103" t="s">
        <v>270</v>
      </c>
      <c r="H19" s="100"/>
    </row>
    <row r="20" spans="1:8" ht="24" customHeight="1" x14ac:dyDescent="0.25">
      <c r="A20" s="34">
        <v>3</v>
      </c>
      <c r="B20" s="133" t="s">
        <v>271</v>
      </c>
      <c r="C20" s="133"/>
      <c r="D20" s="133"/>
      <c r="E20" s="134" t="s">
        <v>272</v>
      </c>
      <c r="F20" s="134"/>
      <c r="G20" s="99" t="s">
        <v>251</v>
      </c>
      <c r="H20" s="100"/>
    </row>
    <row r="22" spans="1:8" ht="21.75" customHeight="1" x14ac:dyDescent="0.25">
      <c r="A22" s="131" t="s">
        <v>273</v>
      </c>
      <c r="B22" s="131"/>
      <c r="C22" s="131"/>
      <c r="D22" s="131"/>
      <c r="E22" s="131"/>
      <c r="F22" s="131"/>
      <c r="G22" s="131"/>
      <c r="H22" s="131"/>
    </row>
    <row r="23" spans="1:8" ht="30" customHeight="1" x14ac:dyDescent="0.25">
      <c r="A23" s="98" t="s">
        <v>244</v>
      </c>
      <c r="B23" s="132" t="s">
        <v>245</v>
      </c>
      <c r="C23" s="132"/>
      <c r="D23" s="132"/>
      <c r="E23" s="132" t="s">
        <v>246</v>
      </c>
      <c r="F23" s="132"/>
      <c r="G23" s="98" t="s">
        <v>247</v>
      </c>
      <c r="H23" s="98" t="s">
        <v>248</v>
      </c>
    </row>
    <row r="24" spans="1:8" ht="24" customHeight="1" x14ac:dyDescent="0.25">
      <c r="A24" s="34">
        <v>1</v>
      </c>
      <c r="B24" s="133" t="s">
        <v>274</v>
      </c>
      <c r="C24" s="133"/>
      <c r="D24" s="133"/>
      <c r="E24" s="134" t="s">
        <v>275</v>
      </c>
      <c r="F24" s="134"/>
      <c r="G24" s="99" t="s">
        <v>251</v>
      </c>
      <c r="H24" s="100"/>
    </row>
    <row r="25" spans="1:8" ht="24" customHeight="1" x14ac:dyDescent="0.25">
      <c r="A25" s="101">
        <v>2</v>
      </c>
      <c r="B25" s="135" t="s">
        <v>276</v>
      </c>
      <c r="C25" s="135"/>
      <c r="D25" s="135"/>
      <c r="E25" s="136" t="s">
        <v>277</v>
      </c>
      <c r="F25" s="136"/>
      <c r="G25" s="102" t="s">
        <v>251</v>
      </c>
      <c r="H25" s="100"/>
    </row>
    <row r="26" spans="1:8" ht="24" customHeight="1" x14ac:dyDescent="0.25">
      <c r="A26" s="34">
        <v>3</v>
      </c>
      <c r="B26" s="133" t="s">
        <v>278</v>
      </c>
      <c r="C26" s="133"/>
      <c r="D26" s="133"/>
      <c r="E26" s="134" t="s">
        <v>279</v>
      </c>
      <c r="F26" s="134"/>
      <c r="G26" s="99" t="s">
        <v>251</v>
      </c>
      <c r="H26" s="100"/>
    </row>
    <row r="27" spans="1:8" ht="24" customHeight="1" x14ac:dyDescent="0.25">
      <c r="A27" s="101">
        <v>4</v>
      </c>
      <c r="B27" s="135" t="s">
        <v>280</v>
      </c>
      <c r="C27" s="135"/>
      <c r="D27" s="135"/>
      <c r="E27" s="136" t="s">
        <v>281</v>
      </c>
      <c r="F27" s="136"/>
      <c r="G27" s="102" t="s">
        <v>251</v>
      </c>
      <c r="H27" s="100"/>
    </row>
    <row r="28" spans="1:8" ht="24" customHeight="1" x14ac:dyDescent="0.25">
      <c r="A28" s="34">
        <v>5</v>
      </c>
      <c r="B28" s="133" t="s">
        <v>282</v>
      </c>
      <c r="C28" s="133"/>
      <c r="D28" s="133"/>
      <c r="E28" s="134" t="s">
        <v>283</v>
      </c>
      <c r="F28" s="134"/>
      <c r="G28" s="99" t="s">
        <v>251</v>
      </c>
      <c r="H28" s="100"/>
    </row>
    <row r="30" spans="1:8" ht="21.75" customHeight="1" x14ac:dyDescent="0.25">
      <c r="A30" s="131" t="s">
        <v>284</v>
      </c>
      <c r="B30" s="131"/>
      <c r="C30" s="131"/>
      <c r="D30" s="131"/>
      <c r="E30" s="131"/>
      <c r="F30" s="131"/>
      <c r="G30" s="131"/>
      <c r="H30" s="131"/>
    </row>
    <row r="31" spans="1:8" ht="30" customHeight="1" x14ac:dyDescent="0.25">
      <c r="A31" s="98" t="s">
        <v>244</v>
      </c>
      <c r="B31" s="132" t="s">
        <v>245</v>
      </c>
      <c r="C31" s="132"/>
      <c r="D31" s="132"/>
      <c r="E31" s="132" t="s">
        <v>246</v>
      </c>
      <c r="F31" s="132"/>
      <c r="G31" s="98" t="s">
        <v>247</v>
      </c>
      <c r="H31" s="98" t="s">
        <v>248</v>
      </c>
    </row>
    <row r="32" spans="1:8" ht="24" customHeight="1" x14ac:dyDescent="0.25">
      <c r="A32" s="34">
        <v>1</v>
      </c>
      <c r="B32" s="133" t="s">
        <v>285</v>
      </c>
      <c r="C32" s="133"/>
      <c r="D32" s="133"/>
      <c r="E32" s="134" t="s">
        <v>286</v>
      </c>
      <c r="F32" s="134"/>
      <c r="G32" s="104" t="s">
        <v>287</v>
      </c>
      <c r="H32" s="100"/>
    </row>
    <row r="33" spans="1:8" ht="24" customHeight="1" x14ac:dyDescent="0.25">
      <c r="A33" s="101">
        <v>2</v>
      </c>
      <c r="B33" s="135" t="s">
        <v>288</v>
      </c>
      <c r="C33" s="135"/>
      <c r="D33" s="135"/>
      <c r="E33" s="136" t="s">
        <v>289</v>
      </c>
      <c r="F33" s="136"/>
      <c r="G33" s="104" t="s">
        <v>287</v>
      </c>
      <c r="H33" s="100"/>
    </row>
    <row r="34" spans="1:8" ht="24" customHeight="1" x14ac:dyDescent="0.25">
      <c r="A34" s="34">
        <v>3</v>
      </c>
      <c r="B34" s="133" t="s">
        <v>290</v>
      </c>
      <c r="C34" s="133"/>
      <c r="D34" s="133"/>
      <c r="E34" s="134" t="s">
        <v>291</v>
      </c>
      <c r="F34" s="134"/>
      <c r="G34" s="99" t="s">
        <v>251</v>
      </c>
      <c r="H34" s="100"/>
    </row>
    <row r="35" spans="1:8" ht="24" customHeight="1" x14ac:dyDescent="0.25">
      <c r="A35" s="101">
        <v>4</v>
      </c>
      <c r="B35" s="135" t="s">
        <v>292</v>
      </c>
      <c r="C35" s="135"/>
      <c r="D35" s="135"/>
      <c r="E35" s="136" t="s">
        <v>293</v>
      </c>
      <c r="F35" s="136"/>
      <c r="G35" s="104" t="s">
        <v>287</v>
      </c>
      <c r="H35" s="100"/>
    </row>
    <row r="36" spans="1:8" ht="24" customHeight="1" x14ac:dyDescent="0.25">
      <c r="A36" s="34">
        <v>5</v>
      </c>
      <c r="B36" s="133" t="s">
        <v>294</v>
      </c>
      <c r="C36" s="133"/>
      <c r="D36" s="133"/>
      <c r="E36" s="134" t="s">
        <v>295</v>
      </c>
      <c r="F36" s="134"/>
      <c r="G36" s="99" t="s">
        <v>251</v>
      </c>
      <c r="H36" s="100"/>
    </row>
    <row r="38" spans="1:8" ht="19.5" customHeight="1" x14ac:dyDescent="0.25">
      <c r="A38" s="137" t="s">
        <v>296</v>
      </c>
      <c r="B38" s="137"/>
      <c r="C38" s="137"/>
      <c r="D38" s="137"/>
      <c r="E38" s="137"/>
      <c r="F38" s="137"/>
      <c r="G38" s="137"/>
      <c r="H38" s="137"/>
    </row>
  </sheetData>
  <mergeCells count="57">
    <mergeCell ref="A38:H38"/>
    <mergeCell ref="B34:D34"/>
    <mergeCell ref="E34:F34"/>
    <mergeCell ref="B35:D35"/>
    <mergeCell ref="E35:F35"/>
    <mergeCell ref="B36:D36"/>
    <mergeCell ref="E36:F36"/>
    <mergeCell ref="B31:D31"/>
    <mergeCell ref="E31:F31"/>
    <mergeCell ref="B32:D32"/>
    <mergeCell ref="E32:F32"/>
    <mergeCell ref="B33:D33"/>
    <mergeCell ref="E33:F33"/>
    <mergeCell ref="B27:D27"/>
    <mergeCell ref="E27:F27"/>
    <mergeCell ref="B28:D28"/>
    <mergeCell ref="E28:F28"/>
    <mergeCell ref="A30:H30"/>
    <mergeCell ref="B24:D24"/>
    <mergeCell ref="E24:F24"/>
    <mergeCell ref="B25:D25"/>
    <mergeCell ref="E25:F25"/>
    <mergeCell ref="B26:D26"/>
    <mergeCell ref="E26:F26"/>
    <mergeCell ref="B20:D20"/>
    <mergeCell ref="E20:F20"/>
    <mergeCell ref="A22:H22"/>
    <mergeCell ref="B23:D23"/>
    <mergeCell ref="E23:F23"/>
    <mergeCell ref="B17:D17"/>
    <mergeCell ref="E17:F17"/>
    <mergeCell ref="B18:D18"/>
    <mergeCell ref="E18:F18"/>
    <mergeCell ref="B19:D19"/>
    <mergeCell ref="E19:F19"/>
    <mergeCell ref="B13:D13"/>
    <mergeCell ref="E13:F13"/>
    <mergeCell ref="B14:D14"/>
    <mergeCell ref="E14:F14"/>
    <mergeCell ref="A16:H16"/>
    <mergeCell ref="A10:H10"/>
    <mergeCell ref="B11:D11"/>
    <mergeCell ref="E11:F11"/>
    <mergeCell ref="B12:D12"/>
    <mergeCell ref="E12:F12"/>
    <mergeCell ref="B6:D6"/>
    <mergeCell ref="E6:F6"/>
    <mergeCell ref="B7:D7"/>
    <mergeCell ref="E7:F7"/>
    <mergeCell ref="B8:D8"/>
    <mergeCell ref="E8:F8"/>
    <mergeCell ref="A1:H1"/>
    <mergeCell ref="A3:H3"/>
    <mergeCell ref="B4:D4"/>
    <mergeCell ref="E4:F4"/>
    <mergeCell ref="B5:D5"/>
    <mergeCell ref="E5:F5"/>
  </mergeCells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1. Tổng Quan</vt:lpstr>
      <vt:lpstr>2. Lịch Vận Hành</vt:lpstr>
      <vt:lpstr>3. Tính Tiết Kiệm</vt:lpstr>
      <vt:lpstr>4. Theo Dõi Tuần</vt:lpstr>
      <vt:lpstr>5. Checklist Ngày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Lương Thanh Tùng</cp:lastModifiedBy>
  <cp:revision>0</cp:revision>
  <dcterms:created xsi:type="dcterms:W3CDTF">2026-06-25T06:59:55Z</dcterms:created>
  <dcterms:modified xsi:type="dcterms:W3CDTF">2026-06-25T07:16:50Z</dcterms:modified>
  <dc:language>en-US</dc:language>
</cp:coreProperties>
</file>